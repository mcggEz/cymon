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erowmdelacruz/Documents/MA Psychology/AutoScoring/"/>
    </mc:Choice>
  </mc:AlternateContent>
  <xr:revisionPtr revIDLastSave="0" documentId="13_ncr:1_{3E1DDFCC-C2B1-444C-A4C6-E577349DDF25}" xr6:coauthVersionLast="47" xr6:coauthVersionMax="47" xr10:uidLastSave="{00000000-0000-0000-0000-000000000000}"/>
  <bookViews>
    <workbookView xWindow="0" yWindow="660" windowWidth="29400" windowHeight="17280" activeTab="1" xr2:uid="{C50357DE-D419-434B-BA4A-EC9B7FEE2F84}"/>
  </bookViews>
  <sheets>
    <sheet name="ORIGINAL QUESTIONNAIRE" sheetId="1" state="hidden" r:id="rId1"/>
    <sheet name="Questionnaire" sheetId="7" r:id="rId2"/>
    <sheet name="Autoscoring" sheetId="2" r:id="rId3"/>
    <sheet name="DO NOT DELETE" sheetId="4" state="hidden" r:id="rId4"/>
  </sheets>
  <definedNames>
    <definedName name="Interns">'DO NOT DELETE'!$A$34:$C$42</definedName>
    <definedName name="mapsy">'DO NOT DELETE'!$A$34:$D$42</definedName>
    <definedName name="_xlnm.Print_Area" localSheetId="0">'ORIGINAL QUESTIONNAIRE'!$A$1:$E$141</definedName>
    <definedName name="PROFESSIONAL">'DO NOT DELETE'!$A$35:$C$41</definedName>
    <definedName name="PROFESSIONAls">'DO NOT DELETE'!$A$35:$C$41</definedName>
    <definedName name="RPm">'DO NOT DELETE'!$A$35:$C$41</definedName>
    <definedName name="RPsy">'DO NOT DELETE'!$A$45:$C$49</definedName>
    <definedName name="table">'DO NOT DELETE'!$A$1:$C$5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2" l="1"/>
  <c r="A59" i="2"/>
  <c r="A58" i="2"/>
  <c r="J204" i="7"/>
  <c r="J160" i="7"/>
  <c r="J120" i="7"/>
  <c r="J78" i="7"/>
  <c r="J44" i="7"/>
  <c r="G5" i="2"/>
  <c r="L3" i="2"/>
  <c r="J58" i="2"/>
  <c r="L59" i="2"/>
  <c r="I200" i="7"/>
  <c r="N19" i="2" s="1"/>
  <c r="I202" i="7"/>
  <c r="N20" i="2" s="1"/>
  <c r="I186" i="7"/>
  <c r="N12" i="2" s="1"/>
  <c r="I188" i="7"/>
  <c r="N13" i="2" s="1"/>
  <c r="I190" i="7"/>
  <c r="N14" i="2" s="1"/>
  <c r="I192" i="7"/>
  <c r="N15" i="2" s="1"/>
  <c r="I194" i="7"/>
  <c r="N16" i="2" s="1"/>
  <c r="I196" i="7"/>
  <c r="N17" i="2" s="1"/>
  <c r="I198" i="7"/>
  <c r="N18" i="2" s="1"/>
  <c r="I184" i="7"/>
  <c r="N11" i="2" s="1"/>
  <c r="I154" i="7"/>
  <c r="K18" i="2" s="1"/>
  <c r="I156" i="7"/>
  <c r="K19" i="2" s="1"/>
  <c r="I158" i="7"/>
  <c r="K20" i="2" s="1"/>
  <c r="I142" i="7"/>
  <c r="K12" i="2" s="1"/>
  <c r="I144" i="7"/>
  <c r="K13" i="2" s="1"/>
  <c r="I146" i="7"/>
  <c r="K14" i="2" s="1"/>
  <c r="I148" i="7"/>
  <c r="K15" i="2" s="1"/>
  <c r="I150" i="7"/>
  <c r="K16" i="2" s="1"/>
  <c r="I152" i="7"/>
  <c r="K17" i="2" s="1"/>
  <c r="I140" i="7"/>
  <c r="K11" i="2" s="1"/>
  <c r="I112" i="7"/>
  <c r="H19" i="2" s="1"/>
  <c r="I114" i="7"/>
  <c r="I116" i="7"/>
  <c r="I118" i="7"/>
  <c r="I98" i="7"/>
  <c r="H12" i="2" s="1"/>
  <c r="I100" i="7"/>
  <c r="H13" i="2" s="1"/>
  <c r="I102" i="7"/>
  <c r="H14" i="2" s="1"/>
  <c r="I104" i="7"/>
  <c r="H15" i="2" s="1"/>
  <c r="I106" i="7"/>
  <c r="H16" i="2" s="1"/>
  <c r="I108" i="7"/>
  <c r="H17" i="2" s="1"/>
  <c r="I110" i="7"/>
  <c r="H18" i="2" s="1"/>
  <c r="I96" i="7"/>
  <c r="H11" i="2" s="1"/>
  <c r="I54" i="7"/>
  <c r="E12" i="2" s="1"/>
  <c r="I56" i="7"/>
  <c r="E13" i="2" s="1"/>
  <c r="I58" i="7"/>
  <c r="E14" i="2" s="1"/>
  <c r="I60" i="7"/>
  <c r="E15" i="2" s="1"/>
  <c r="I62" i="7"/>
  <c r="E16" i="2" s="1"/>
  <c r="I64" i="7"/>
  <c r="E17" i="2" s="1"/>
  <c r="I66" i="7"/>
  <c r="E18" i="2" s="1"/>
  <c r="I68" i="7"/>
  <c r="E19" i="2" s="1"/>
  <c r="I70" i="7"/>
  <c r="E20" i="2" s="1"/>
  <c r="I72" i="7"/>
  <c r="E21" i="2" s="1"/>
  <c r="I74" i="7"/>
  <c r="E22" i="2" s="1"/>
  <c r="I76" i="7"/>
  <c r="E23" i="2" s="1"/>
  <c r="I52" i="7"/>
  <c r="E11" i="2" s="1"/>
  <c r="I22" i="7"/>
  <c r="B12" i="2" s="1"/>
  <c r="I24" i="7"/>
  <c r="I26" i="7"/>
  <c r="B14" i="2" s="1"/>
  <c r="I28" i="7"/>
  <c r="B15" i="2" s="1"/>
  <c r="I30" i="7"/>
  <c r="B16" i="2" s="1"/>
  <c r="I32" i="7"/>
  <c r="B17" i="2" s="1"/>
  <c r="I34" i="7"/>
  <c r="B18" i="2" s="1"/>
  <c r="I36" i="7"/>
  <c r="B19" i="2" s="1"/>
  <c r="I38" i="7"/>
  <c r="B20" i="2" s="1"/>
  <c r="I40" i="7"/>
  <c r="B21" i="2" s="1"/>
  <c r="I42" i="7"/>
  <c r="B22" i="2" s="1"/>
  <c r="I20" i="7"/>
  <c r="B11" i="2" s="1"/>
  <c r="B5" i="2"/>
  <c r="B3" i="2"/>
  <c r="B13" i="2"/>
  <c r="H21" i="2"/>
  <c r="H22" i="2"/>
  <c r="H20" i="2"/>
  <c r="M63" i="2"/>
  <c r="B25" i="2" l="1"/>
  <c r="D41" i="2" s="1"/>
  <c r="K25" i="2"/>
  <c r="K27" i="2" s="1"/>
  <c r="K29" i="2" s="1"/>
  <c r="J36" i="2" s="1" a="1"/>
  <c r="J36" i="2" s="1"/>
  <c r="E25" i="2"/>
  <c r="E27" i="2" s="1"/>
  <c r="E29" i="2" s="1"/>
  <c r="H25" i="2"/>
  <c r="D43" i="2" s="1"/>
  <c r="N25" i="2"/>
  <c r="N27" i="2" s="1"/>
  <c r="N29" i="2" s="1"/>
  <c r="M32" i="2" s="1"/>
  <c r="J32" i="2" l="1"/>
  <c r="D42" i="2"/>
  <c r="B27" i="2"/>
  <c r="B29" i="2" s="1"/>
  <c r="H27" i="2"/>
  <c r="H29" i="2" s="1"/>
  <c r="D44" i="2"/>
  <c r="D46" i="2" l="1"/>
  <c r="D4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<sst xmlns="http://schemas.openxmlformats.org/spreadsheetml/2006/main" count="779" uniqueCount="290">
  <si>
    <t>Instruction / Panuto:</t>
  </si>
  <si>
    <t>I. CONCEPTUAL DOMAIN (Konseptwal na Kakayahan)</t>
  </si>
  <si>
    <t>(Communication, language, academics)</t>
  </si>
  <si>
    <t>No.</t>
  </si>
  <si>
    <t>☐</t>
  </si>
  <si>
    <t>Interpretation</t>
  </si>
  <si>
    <t>8–10 YES</t>
  </si>
  <si>
    <t>5–7 YES</t>
  </si>
  <si>
    <t>3–4 YES</t>
  </si>
  <si>
    <t>0–2 YES</t>
  </si>
  <si>
    <t>CHILD ADAPTIVE FUNCTIONING  CHECKLIST
(INITIAL SCREENING TOOL)</t>
  </si>
  <si>
    <t xml:space="preserve">Child’s Name / Pangalan ng Bata: </t>
  </si>
  <si>
    <t xml:space="preserve">Age / Edad: </t>
  </si>
  <si>
    <t>Sex (Kasarian):</t>
  </si>
  <si>
    <t>Date / Petsa</t>
  </si>
  <si>
    <t>Detailed Behavioral Indicator (English)</t>
  </si>
  <si>
    <t>Detalyadong Pahayag (Filipino)</t>
  </si>
  <si>
    <t>YES</t>
  </si>
  <si>
    <t>NO</t>
  </si>
  <si>
    <t>States full name, age, and identifies parents when asked.</t>
  </si>
  <si>
    <t>Nasasabi ang buong pangalan, edad, at pangalan ng magulang kapag tinanong.</t>
  </si>
  <si>
    <t>Follows 2-step instructions (e.g., “Pick up your bag and sit down”) without repeated prompting.</t>
  </si>
  <si>
    <t>Nakakasunod sa 2 hakbang na utos nang hindi inuulit-ulit.</t>
  </si>
  <si>
    <t>Answers WH-questions (who, what, where, why) appropriately in simple conversations.</t>
  </si>
  <si>
    <t>Nakakasagot nang tama sa sino, ano, saan, bakit sa simpleng usapan.</t>
  </si>
  <si>
    <t>Identifies and names common objects and their use (e.g., spoon is for eating).</t>
  </si>
  <si>
    <t>Nakikilala ang bagay at alam ang gamit nito.</t>
  </si>
  <si>
    <t>Recognizes letters, numbers, colors, or shapes appropriate to age level.</t>
  </si>
  <si>
    <t>Nakikilala ang letra, numero, kulay o hugis ayon sa edad.</t>
  </si>
  <si>
    <t>Can count objects correctly and perform simple math (if age-appropriate).</t>
  </si>
  <si>
    <t>Nakakabilang ng tama at nakakagawa ng simpleng matematika ayon sa edad.</t>
  </si>
  <si>
    <t>Understands time concepts (today, yesterday, tomorrow) and daily schedule.</t>
  </si>
  <si>
    <t>Naiintindihan ang kahapon, ngayon, bukas at iskedyul ng araw.</t>
  </si>
  <si>
    <t>Expresses needs, thoughts, and feelings using understandable words or gestures.</t>
  </si>
  <si>
    <t>Naipapahayag nang malinaw ang pangangailangan o damdamin.</t>
  </si>
  <si>
    <t>Maintains attention on structured task for at least 10–15 minutes (age-appropriate).</t>
  </si>
  <si>
    <t>Nakakapokus sa gawain ng 10–15 minuto ayon sa edad.</t>
  </si>
  <si>
    <t>Demonstrates understanding of cause and effect (e.g., “If I run, I might fall”).</t>
  </si>
  <si>
    <t>Naiintindihan ang sanhi at bunga ng kilos.</t>
  </si>
  <si>
    <t>Understands simple problem-solving (e.g., finds alternative if toy is unavailable).</t>
  </si>
  <si>
    <t>Nakakaisip ng alternatibong solusyon sa simpleng problema.</t>
  </si>
  <si>
    <t>Reads simple words or sentences (if school-aged).</t>
  </si>
  <si>
    <t>Nakakabasa ng simpleng salita o pangungusap ayon sa edad.</t>
  </si>
  <si>
    <t>II. SOCIAL DOMAIN</t>
  </si>
  <si>
    <t>(Interpersonal Skills, Emotional Regulation, Social Awareness)</t>
  </si>
  <si>
    <t>Initiates interaction with peers or adults appropriately.</t>
  </si>
  <si>
    <t>Kusang nakikipag-ugnayan sa kapwa bata o nakatatanda.</t>
  </si>
  <si>
    <t>Maintains appropriate eye contact during conversation.</t>
  </si>
  <si>
    <t>Nakikipag-eye contact sa pakikipag-usap.</t>
  </si>
  <si>
    <t>Responds appropriately when name is called.</t>
  </si>
  <si>
    <t>Tumutugon agad kapag tinatawag ang pangalan.</t>
  </si>
  <si>
    <t>Engages in cooperative play (sharing, turn-taking).</t>
  </si>
  <si>
    <t>Nakikipaglaro nang may salitan at pagbabahagi.</t>
  </si>
  <si>
    <t>Understands personal space and boundaries.</t>
  </si>
  <si>
    <t>Naiintindihan ang personal space at limitasyon ng iba.</t>
  </si>
  <si>
    <t>Expresses emotions appropriately without extreme reactions.</t>
  </si>
  <si>
    <t>Naipapahayag ang emosyon nang hindi labis o marahas.</t>
  </si>
  <si>
    <t>Recovers from frustration within reasonable time (without prolonged meltdown).</t>
  </si>
  <si>
    <t>Nakakabawi agad matapos mainis o magalit.</t>
  </si>
  <si>
    <t>Shows empathy (comforts others who are hurt or sad).</t>
  </si>
  <si>
    <t>Nakikiramay kapag may nasasaktan o nalulungkot.</t>
  </si>
  <si>
    <t>Follows group rules in school/home setting.</t>
  </si>
  <si>
    <t>Nakakasunod sa patakaran sa bahay o paaralan.</t>
  </si>
  <si>
    <t>Adjusts behavior according to situation (formal vs play setting).</t>
  </si>
  <si>
    <t>Naaangkop ang kilos sa sitwasyon.</t>
  </si>
  <si>
    <t>Understands simple social cues (e.g., someone is angry or joking).</t>
  </si>
  <si>
    <t>Naiintindihan ang simpleng senyales ng emosyon ng iba.</t>
  </si>
  <si>
    <t>Avoids aggressive behaviors (hitting, biting, throwing objects).</t>
  </si>
  <si>
    <t>Hindi madalas nananakit o naghahagis ng gamit.</t>
  </si>
  <si>
    <t>III. PRACTICAL DOMAIN</t>
  </si>
  <si>
    <t>(Daily Living Skills, Self-Care, Functional Independence)</t>
  </si>
  <si>
    <t>Eats independently using utensils properly.</t>
  </si>
  <si>
    <t>Nakakakain nang mag-isa gamit ang kutsara/tinidor.</t>
  </si>
  <si>
    <t>Dresses and undresses with minimal help.</t>
  </si>
  <si>
    <t>Nakakapagbihis at hubad na may kaunting tulong lamang.</t>
  </si>
  <si>
    <t>Uses toilet independently and maintains cleanliness.</t>
  </si>
  <si>
    <t>Nakakagamit ng palikuran nang mag-isa at malinis.</t>
  </si>
  <si>
    <t>Brushes teeth and washes hands independently.</t>
  </si>
  <si>
    <t>Marunong magsipilyo at maghugas ng kamay mag-isa.</t>
  </si>
  <si>
    <t>Follows daily routine (wakes up, prepares for school).</t>
  </si>
  <si>
    <t>Nakakasunod sa pang-araw-araw na rutina.</t>
  </si>
  <si>
    <t>Packs and organizes school materials.</t>
  </si>
  <si>
    <t>Nakakaayos at nakakapag-impake ng gamit sa paaralan.</t>
  </si>
  <si>
    <t>Understands basic money value and transactions (age-appropriate).</t>
  </si>
  <si>
    <t>May simpleng kaalaman sa halaga ng pera.</t>
  </si>
  <si>
    <t>Demonstrates awareness of safety (traffic, strangers, sharp objects).</t>
  </si>
  <si>
    <t>May kamalayan sa panganib tulad ng sasakyan o matutulis na bagay.</t>
  </si>
  <si>
    <t>Completes simple household chores when instructed.</t>
  </si>
  <si>
    <t>Nakakagawa ng simpleng gawaing bahay kapag inutusan.</t>
  </si>
  <si>
    <t>Travels short familiar distances with supervision (age-appropriate).</t>
  </si>
  <si>
    <t>Kayang pumunta sa malapit na lugar na may gabay.</t>
  </si>
  <si>
    <t>Manages personal belongings responsibly.</t>
  </si>
  <si>
    <t>Inaalagaan ang sariling gamit.</t>
  </si>
  <si>
    <t>Seeks help appropriately when confused or unsafe.</t>
  </si>
  <si>
    <t>Humihingi ng tulong kapag nalilito o nasa panganib.</t>
  </si>
  <si>
    <t>IV. MOTOR DEVELOPMENT DOMAIN</t>
  </si>
  <si>
    <t>A. Gross Motor Skills (Malalaking Galaw ng Katawan)</t>
  </si>
  <si>
    <t>Walks, runs, and stops without losing balance.</t>
  </si>
  <si>
    <t>Nakakalakad at nakakatakbo nang hindi nawawalan ng balanse.</t>
  </si>
  <si>
    <t>Jumps forward with both feet together.</t>
  </si>
  <si>
    <t>Nakakatatalon pasulong gamit ang dalawang paa.</t>
  </si>
  <si>
    <t>Climbs stairs alternating feet (age-appropriate).</t>
  </si>
  <si>
    <t>Nakakaakyat ng hagdan nang salitan ang paa.</t>
  </si>
  <si>
    <t>Kicks a ball with coordination and balance.</t>
  </si>
  <si>
    <t>Nakakasipa ng bola nang maayos ang balanse.</t>
  </si>
  <si>
    <t>Throws and catches a medium-sized ball.</t>
  </si>
  <si>
    <t>Nakakahagis at nakakasalo ng bola.</t>
  </si>
  <si>
    <t>Maintains balance while standing on one foot for 5 seconds.</t>
  </si>
  <si>
    <t>Kayang tumayo sa isang paa nang 5 segundo.</t>
  </si>
  <si>
    <t>Participates in playground activities without excessive clumsiness.</t>
  </si>
  <si>
    <t>Nakakalahok sa laro nang hindi madalas nadadapa.</t>
  </si>
  <si>
    <t>Demonstrates body awareness (avoids bumping into objects frequently).</t>
  </si>
  <si>
    <t>May kamalayan sa galaw ng katawan at hindi palaging nababangga.</t>
  </si>
  <si>
    <t>Coordinates both sides of the body (e.g., skipping, hopping).</t>
  </si>
  <si>
    <t>Naiko-coordinate ang galaw ng magkabilang bahagi ng katawan.</t>
  </si>
  <si>
    <t>Shows adequate muscle strength for age (e.g., lifting school bag).</t>
  </si>
  <si>
    <t>May sapat na lakas ayon sa edad.</t>
  </si>
  <si>
    <t>B. Fine Motor Skills (Maliliit na Galaw ng Kamay at Daliri)</t>
  </si>
  <si>
    <t>Holds pencil or crayon with appropriate grip.</t>
  </si>
  <si>
    <t>Hawak ang lapis o krayola nang tama.</t>
  </si>
  <si>
    <t>Copies basic shapes (circle, square, triangle).</t>
  </si>
  <si>
    <t>Nakakagaya ng simpleng hugis.</t>
  </si>
  <si>
    <t>Writes letters or name legibly (age-appropriate).</t>
  </si>
  <si>
    <t>Nakakasulat nang malinaw ayon sa edad.</t>
  </si>
  <si>
    <t>Uses scissors to cut along a line.</t>
  </si>
  <si>
    <t>Nakakagamit ng gunting nang maayos.</t>
  </si>
  <si>
    <t>Buttons/unbuttons clothing independently.</t>
  </si>
  <si>
    <t>Nakakapagbutones at tanggal ng butones mag-isa.</t>
  </si>
  <si>
    <t>Manipulates small objects (beads, coins) without dropping frequently.</t>
  </si>
  <si>
    <t>Nakakahawak ng maliliit na bagay nang hindi madaling nalalaglag.</t>
  </si>
  <si>
    <t>Colors within lines most of the time.</t>
  </si>
  <si>
    <t>Nakakapagkulay sa loob ng linya.</t>
  </si>
  <si>
    <t>Assembles puzzles appropriate for age.</t>
  </si>
  <si>
    <t>Nakakabuo ng puzzle ayon sa edad.</t>
  </si>
  <si>
    <t>Demonstrates hand-eye coordination (e.g., tracing, drawing).</t>
  </si>
  <si>
    <t>May maayos na koordinasyon ng mata at kamay.</t>
  </si>
  <si>
    <t>Shows endurance during writing tasks (does not tire easily).</t>
  </si>
  <si>
    <t>Hindi agad napapagod sa pagsusulat.</t>
  </si>
  <si>
    <t>Can recognize familiar faces such as family members, teacher, or peers.</t>
  </si>
  <si>
    <t>Nakakakilala sa mga pamilyar na mukha tulad ng kapamilya, guro o kaibigan.</t>
  </si>
  <si>
    <t>Per Sub-Area Interpretation:</t>
  </si>
  <si>
    <t>Score</t>
  </si>
  <si>
    <t>Severity Level</t>
  </si>
  <si>
    <t>Age-appropriate motor skills</t>
  </si>
  <si>
    <t>No significant delay</t>
  </si>
  <si>
    <t>Mild motor difficulty</t>
  </si>
  <si>
    <t>Mild Motor Delay</t>
  </si>
  <si>
    <t>Moderate coordination difficulty</t>
  </si>
  <si>
    <t>Moderate Motor Delay</t>
  </si>
  <si>
    <t>Severe motor impairment</t>
  </si>
  <si>
    <t>Severe Motor Delay</t>
  </si>
  <si>
    <t>Referral Guide for Motor Concerns</t>
  </si>
  <si>
    <t>Gross Motor = Moderate/Severe → Recommend Pediatric or Physical Therapy referral</t>
  </si>
  <si>
    <t>Fine Motor = Moderate/Severe → Recommend Occupational Therapy evaluation</t>
  </si>
  <si>
    <t>Combined motor deficits → Consider developmental pediatric assessment</t>
  </si>
  <si>
    <t>A. Conceptual, Social, Practical (12 items each)</t>
  </si>
  <si>
    <t>10–12</t>
  </si>
  <si>
    <t>Within Age Expectation</t>
  </si>
  <si>
    <t>7–9</t>
  </si>
  <si>
    <t>Mild Impairment</t>
  </si>
  <si>
    <t>4–6</t>
  </si>
  <si>
    <t>Moderate Impairment</t>
  </si>
  <si>
    <t>0–3</t>
  </si>
  <si>
    <t>Severe Impairment</t>
  </si>
  <si>
    <t>B. Motor Domain</t>
  </si>
  <si>
    <t>Gross Motor (10 items)</t>
  </si>
  <si>
    <t>Fine Motor (10 items)</t>
  </si>
  <si>
    <t>8–10</t>
  </si>
  <si>
    <t>5–7</t>
  </si>
  <si>
    <t>Mild Delay</t>
  </si>
  <si>
    <t>3–4</t>
  </si>
  <si>
    <t>Moderate Delay</t>
  </si>
  <si>
    <t>0–2</t>
  </si>
  <si>
    <t>Severe Delay</t>
  </si>
  <si>
    <t>Motor Overall:</t>
  </si>
  <si>
    <t>If both Gross and Fine are impaired → use higher severity level</t>
  </si>
  <si>
    <t>If only one is impaired → classify as isolated motor delay</t>
  </si>
  <si>
    <t>GLOBAL NUMERICAL METHOD</t>
  </si>
  <si>
    <t>You may compute total score:</t>
  </si>
  <si>
    <t>Total Possible Score:</t>
  </si>
  <si>
    <t>Conceptual (12)</t>
  </si>
  <si>
    <t>Social (12)</t>
  </si>
  <si>
    <t>Practical (12)</t>
  </si>
  <si>
    <t>Motor (20)</t>
  </si>
  <si>
    <t>Maximum Total = 56</t>
  </si>
  <si>
    <t>Overall Global Score Interpretation:</t>
  </si>
  <si>
    <t>Total Score</t>
  </si>
  <si>
    <t>Overall Severity</t>
  </si>
  <si>
    <t>45–56</t>
  </si>
  <si>
    <t>34–44</t>
  </si>
  <si>
    <t>20–33</t>
  </si>
  <si>
    <t>0–19</t>
  </si>
  <si>
    <t>Respondent / Sumagot: ☐ Parent (Magulang)  ☐ Teacher (Guro) ☐  Caregiver (Tagapag-alaga)  ☐ Others (Iba pa): ______________</t>
  </si>
  <si>
    <t>I. CONCEPTUAL</t>
  </si>
  <si>
    <t>II. SOCIAL</t>
  </si>
  <si>
    <t>III. PRACTICAL</t>
  </si>
  <si>
    <t>MOTOR DOMAINS</t>
  </si>
  <si>
    <t>Verb. Inter.</t>
  </si>
  <si>
    <t>Severity</t>
  </si>
  <si>
    <t>CONCEPTUAL, SOCIAL, PRACTICAL DOMAINS</t>
  </si>
  <si>
    <t>CONCEPTUAL</t>
  </si>
  <si>
    <t>SOCIAL</t>
  </si>
  <si>
    <t>PRACTICAL</t>
  </si>
  <si>
    <t>MOTOR DOMAIN</t>
  </si>
  <si>
    <t>A. GROSS MOTORS</t>
  </si>
  <si>
    <t>B. FINE MOTORS</t>
  </si>
  <si>
    <t>MAXIMUM TOTAL</t>
  </si>
  <si>
    <t>IF COMBINED MOTOR DEFICITS</t>
  </si>
  <si>
    <t>OVERALL SEVERITY</t>
  </si>
  <si>
    <t>Recommendation for Gross Motors</t>
  </si>
  <si>
    <t>Recommendation for Fine Motors</t>
  </si>
  <si>
    <t>If Combined Motor Deficits</t>
  </si>
  <si>
    <t>Consider developmental pediatric assessment.</t>
  </si>
  <si>
    <t>N/A</t>
  </si>
  <si>
    <t>Kindly proceed on the specific recommendation for Fine motors.</t>
  </si>
  <si>
    <t>Kindly proceed on the specific recommendation for Gross motors.</t>
  </si>
  <si>
    <t>NAME:</t>
  </si>
  <si>
    <t>DATE:</t>
  </si>
  <si>
    <t>PSYCHOMETRICIAN</t>
  </si>
  <si>
    <t>DR. JINKY C. MALABANAN</t>
  </si>
  <si>
    <t>CRISTINE LAE ERASGA</t>
  </si>
  <si>
    <t>CHRISTINE ANNE VILLAMARZO</t>
  </si>
  <si>
    <t>PSYCHOLOGIST</t>
  </si>
  <si>
    <t>Administered by:</t>
  </si>
  <si>
    <t>Checked and Approved by:</t>
  </si>
  <si>
    <t>Generated Date:</t>
  </si>
  <si>
    <r>
      <t xml:space="preserve">Please answer each statement with </t>
    </r>
    <r>
      <rPr>
        <b/>
        <sz val="11"/>
        <color theme="1"/>
        <rFont val="Arial NARROW"/>
        <family val="2"/>
      </rPr>
      <t>YES (OO)</t>
    </r>
    <r>
      <rPr>
        <sz val="11"/>
        <color theme="1"/>
        <rFont val="Arial Narrow"/>
        <family val="2"/>
      </rPr>
      <t xml:space="preserve"> if the child is able to do the skill independently or age-appropriately.</t>
    </r>
  </si>
  <si>
    <r>
      <t xml:space="preserve">(Sagutin ng </t>
    </r>
    <r>
      <rPr>
        <b/>
        <i/>
        <sz val="11"/>
        <color theme="1"/>
        <rFont val="Arial Narrow"/>
        <family val="2"/>
      </rPr>
      <t>OO</t>
    </r>
    <r>
      <rPr>
        <i/>
        <sz val="11"/>
        <color theme="1"/>
        <rFont val="Arial Narrow"/>
        <family val="2"/>
      </rPr>
      <t xml:space="preserve"> kung nagagawa ng bata ang kasanayan nang naaayon sa kanyang edad at may kaunting gabay lamang.)</t>
    </r>
  </si>
  <si>
    <t>(Pangalan ng Bata)</t>
  </si>
  <si>
    <t>Child's Name:</t>
  </si>
  <si>
    <t>Date:</t>
  </si>
  <si>
    <t>(Petsa)</t>
  </si>
  <si>
    <r>
      <t xml:space="preserve">Detailed Behavioral Indicator </t>
    </r>
    <r>
      <rPr>
        <b/>
        <i/>
        <sz val="10"/>
        <color theme="1"/>
        <rFont val="Arial NARROW"/>
        <family val="2"/>
      </rPr>
      <t>(Detalyadong Pahayag)</t>
    </r>
  </si>
  <si>
    <t>E</t>
  </si>
  <si>
    <t>T</t>
  </si>
  <si>
    <t>I. CONCEPTUAL DOMAIN (Konseptwal na kakayahan)</t>
  </si>
  <si>
    <t>(Communication, languange, academics)</t>
  </si>
  <si>
    <t>CHOICES</t>
  </si>
  <si>
    <t>ü</t>
  </si>
  <si>
    <t>Age:</t>
  </si>
  <si>
    <t>(Edad)</t>
  </si>
  <si>
    <t>Gender:</t>
  </si>
  <si>
    <t>(Kasarian)</t>
  </si>
  <si>
    <t>Respondent:</t>
  </si>
  <si>
    <t>(Sumagot)</t>
  </si>
  <si>
    <t>Parent</t>
  </si>
  <si>
    <t>Teacher</t>
  </si>
  <si>
    <t>Caregiver</t>
  </si>
  <si>
    <t>Others</t>
  </si>
  <si>
    <t>Instruction:</t>
  </si>
  <si>
    <t>Please answer each statement with YES if the child is able to do the skill independently or age-appropriately.</t>
  </si>
  <si>
    <t>(If Others, please specify):</t>
  </si>
  <si>
    <t>(Panuto:</t>
  </si>
  <si>
    <t>AGE:</t>
  </si>
  <si>
    <r>
      <t>Sagutin ng OO kung nagagawa ng bata ang kasanayan nang naaayon sa kanyang edad at may kaunting gabay lamang.</t>
    </r>
    <r>
      <rPr>
        <b/>
        <i/>
        <sz val="9"/>
        <color theme="1"/>
        <rFont val="Arial NARROW"/>
        <family val="2"/>
      </rPr>
      <t>)</t>
    </r>
  </si>
  <si>
    <t>Registered Psychometrician</t>
  </si>
  <si>
    <t>Registered Psychologist</t>
  </si>
  <si>
    <t>0002278</t>
  </si>
  <si>
    <t>0001942</t>
  </si>
  <si>
    <t>0001858</t>
  </si>
  <si>
    <t>0002437</t>
  </si>
  <si>
    <t>License No.:</t>
  </si>
  <si>
    <t>PROFESSIONAL</t>
  </si>
  <si>
    <t>ALMIE M. BUCO</t>
  </si>
  <si>
    <t>CRISTINE LAE C. ERASGA</t>
  </si>
  <si>
    <t>CHRISTINE ANNE M. VILLAMARZO</t>
  </si>
  <si>
    <t>ERIKA MAE R. FAUSTINO</t>
  </si>
  <si>
    <t>LEERA MAE C. GUEVARRA</t>
  </si>
  <si>
    <t>MARWIN A. GILBERO JR.</t>
  </si>
  <si>
    <t>JEROME G. DELA CRUZ</t>
  </si>
  <si>
    <t>License # Rpsy</t>
  </si>
  <si>
    <t>INTERNS</t>
  </si>
  <si>
    <t>Clinic Intern</t>
  </si>
  <si>
    <t>KENRICK JOHN D. HAMMOND</t>
  </si>
  <si>
    <t>MARIEDHANNE LOUISE O. LANCETA</t>
  </si>
  <si>
    <t>KRISTLE ANNE A. MANALO</t>
  </si>
  <si>
    <t>GENDER:</t>
  </si>
  <si>
    <t>NOT APPLICABLE</t>
  </si>
  <si>
    <t>CMPS-2026-02-18-Rev.1 03012026</t>
  </si>
  <si>
    <t>NOTE:</t>
  </si>
  <si>
    <t>Clinic Psychologist / Supervisor</t>
  </si>
  <si>
    <t>CHILD ADAPTIVE FUNCTIONING  CHECKLIST INTERPRETATION</t>
  </si>
  <si>
    <r>
      <t>Check “</t>
    </r>
    <r>
      <rPr>
        <b/>
        <i/>
        <sz val="9"/>
        <color rgb="FF7030A0"/>
        <rFont val="Arial NARROW"/>
        <family val="2"/>
      </rPr>
      <t>Not Applicable</t>
    </r>
    <r>
      <rPr>
        <i/>
        <sz val="9"/>
        <color theme="1"/>
        <rFont val="Arial NARROW"/>
        <family val="2"/>
      </rPr>
      <t>” if the question is not yet appropriate for your child’s age.</t>
    </r>
  </si>
  <si>
    <t>Page 1 of 5</t>
  </si>
  <si>
    <t>Page 5 of 5</t>
  </si>
  <si>
    <t>Page 4 of 5</t>
  </si>
  <si>
    <t>Page 3 of 5</t>
  </si>
  <si>
    <t>Page 2 of 5</t>
  </si>
  <si>
    <t>Field Practicum (MPI 108), MA Psychology</t>
  </si>
  <si>
    <t>Pamantasan ng Cabuyao (University of Cabuyao)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</si>
</sst>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409]mmmm\ dd\,\ yyyy;@"/>
  </numFmts>
  <fonts count="33" x14ac:knownFonts="1">
    <font>
      <sz val="12"/>
      <color theme="1"/>
      <name val="Aptos Narrow"/>
      <family val="2"/>
      <scheme val="minor"/>
    </font>
    <font>
      <b/>
      <sz val="11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9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8"/>
      <color theme="0"/>
      <name val="Arial NARROW"/>
      <family val="2"/>
    </font>
    <font>
      <sz val="11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b/>
      <sz val="13.5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24"/>
      <color theme="1"/>
      <name val="Arial Narrow"/>
      <family val="2"/>
    </font>
    <font>
      <b/>
      <i/>
      <sz val="9"/>
      <color theme="1"/>
      <name val="Arial NARROW"/>
      <family val="2"/>
    </font>
    <font>
      <sz val="10"/>
      <color theme="1"/>
      <name val="Wingdings"/>
      <charset val="2"/>
    </font>
    <font>
      <i/>
      <sz val="9"/>
      <color theme="1"/>
      <name val="Arial NARROW"/>
      <family val="2"/>
    </font>
    <font>
      <b/>
      <sz val="10"/>
      <color theme="0"/>
      <name val="Arial NARROW"/>
      <family val="2"/>
    </font>
    <font>
      <b/>
      <sz val="16"/>
      <color theme="0"/>
      <name val="Arial Narrow"/>
      <family val="2"/>
    </font>
    <font>
      <i/>
      <sz val="8"/>
      <color rgb="FF9F76C7"/>
      <name val="Aptos Narrow"/>
      <scheme val="minor"/>
    </font>
    <font>
      <sz val="11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0"/>
      <name val="Aptos Narrow"/>
      <scheme val="minor"/>
    </font>
    <font>
      <b/>
      <sz val="12"/>
      <color theme="0"/>
      <name val="Wingdings"/>
      <charset val="2"/>
    </font>
    <font>
      <b/>
      <sz val="8"/>
      <color theme="1"/>
      <name val="Arial NARROW"/>
      <family val="2"/>
    </font>
    <font>
      <i/>
      <sz val="10"/>
      <color rgb="FF7030A0"/>
      <name val="Arial NARROW"/>
      <family val="2"/>
    </font>
    <font>
      <b/>
      <i/>
      <sz val="8"/>
      <color theme="1"/>
      <name val="Arial NARROW"/>
      <family val="2"/>
    </font>
    <font>
      <i/>
      <sz val="8"/>
      <color theme="1"/>
      <name val="Aptos Narrow"/>
      <scheme val="minor"/>
    </font>
    <font>
      <b/>
      <i/>
      <sz val="9"/>
      <color rgb="FF7030A0"/>
      <name val="Arial NARROW"/>
      <family val="2"/>
    </font>
    <font>
      <i/>
      <sz val="8"/>
      <color theme="1"/>
      <name val="Arial NARROW"/>
      <family val="2"/>
    </font>
    <font>
      <b/>
      <i/>
      <u/>
      <sz val="8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F76C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0" borderId="0" xfId="0" applyFont="1" applyAlignment="1">
      <alignment horizontal="right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1" fillId="0" borderId="0" xfId="0" applyFont="1"/>
    <xf numFmtId="0" fontId="9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/>
    <xf numFmtId="0" fontId="0" fillId="0" borderId="0" xfId="0" applyAlignment="1">
      <alignment horizontal="center"/>
    </xf>
    <xf numFmtId="0" fontId="18" fillId="0" borderId="0" xfId="0" applyFont="1" applyAlignment="1">
      <alignment horizontal="right"/>
    </xf>
    <xf numFmtId="0" fontId="0" fillId="0" borderId="10" xfId="0" applyBorder="1"/>
    <xf numFmtId="0" fontId="0" fillId="0" borderId="10" xfId="0" applyBorder="1" applyAlignment="1">
      <alignment horizontal="center"/>
    </xf>
    <xf numFmtId="0" fontId="21" fillId="0" borderId="0" xfId="0" applyFont="1"/>
    <xf numFmtId="0" fontId="3" fillId="3" borderId="3" xfId="0" applyFont="1" applyFill="1" applyBorder="1" applyAlignment="1" applyProtection="1">
      <alignment horizont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right"/>
      <protection hidden="1"/>
    </xf>
    <xf numFmtId="0" fontId="2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164" fontId="3" fillId="0" borderId="0" xfId="0" applyNumberFormat="1" applyFont="1" applyAlignment="1" applyProtection="1">
      <alignment horizontal="left"/>
      <protection hidden="1"/>
    </xf>
    <xf numFmtId="0" fontId="3" fillId="0" borderId="1" xfId="0" applyFont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1" fillId="4" borderId="3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 wrapText="1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wrapText="1"/>
      <protection hidden="1"/>
    </xf>
    <xf numFmtId="0" fontId="3" fillId="0" borderId="0" xfId="0" applyFont="1" applyAlignment="1" applyProtection="1">
      <alignment wrapText="1"/>
      <protection hidden="1"/>
    </xf>
    <xf numFmtId="0" fontId="7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2" fillId="0" borderId="0" xfId="0" applyFont="1" applyProtection="1">
      <protection hidden="1"/>
    </xf>
    <xf numFmtId="0" fontId="22" fillId="0" borderId="0" xfId="0" applyFont="1"/>
    <xf numFmtId="0" fontId="7" fillId="0" borderId="0" xfId="0" applyFont="1" applyAlignment="1">
      <alignment horizontal="left" vertical="center"/>
    </xf>
    <xf numFmtId="0" fontId="24" fillId="0" borderId="0" xfId="0" applyFont="1" applyProtection="1">
      <protection hidden="1"/>
    </xf>
    <xf numFmtId="0" fontId="23" fillId="0" borderId="0" xfId="0" applyFont="1" applyProtection="1">
      <protection hidden="1"/>
    </xf>
    <xf numFmtId="0" fontId="25" fillId="0" borderId="0" xfId="0" applyFont="1" applyProtection="1">
      <protection hidden="1"/>
    </xf>
    <xf numFmtId="0" fontId="23" fillId="0" borderId="0" xfId="0" quotePrefix="1" applyFont="1" applyProtection="1">
      <protection hidden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27" fillId="0" borderId="0" xfId="0" applyFont="1"/>
    <xf numFmtId="0" fontId="5" fillId="0" borderId="0" xfId="0" applyFont="1" applyAlignment="1">
      <alignment vertical="center"/>
    </xf>
    <xf numFmtId="0" fontId="28" fillId="0" borderId="0" xfId="0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0" fontId="31" fillId="0" borderId="0" xfId="0" applyFont="1" applyAlignment="1">
      <alignment horizontal="right"/>
    </xf>
    <xf numFmtId="0" fontId="30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164" fontId="32" fillId="0" borderId="0" xfId="0" applyNumberFormat="1" applyFont="1" applyAlignment="1">
      <alignment horizontal="left" vertical="center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19" fillId="6" borderId="8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17" fillId="0" borderId="14" xfId="0" applyFont="1" applyBorder="1" applyAlignment="1" applyProtection="1">
      <alignment horizontal="center" vertical="center"/>
      <protection locked="0"/>
    </xf>
    <xf numFmtId="0" fontId="17" fillId="0" borderId="15" xfId="0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17" fillId="0" borderId="16" xfId="0" applyFont="1" applyBorder="1" applyAlignment="1" applyProtection="1">
      <alignment horizontal="center" vertical="center"/>
      <protection locked="0"/>
    </xf>
    <xf numFmtId="0" fontId="17" fillId="0" borderId="17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20" fillId="6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6" fillId="0" borderId="0" xfId="0" applyFont="1" applyAlignment="1">
      <alignment horizontal="right"/>
    </xf>
    <xf numFmtId="0" fontId="3" fillId="0" borderId="1" xfId="0" applyFont="1" applyBorder="1" applyAlignment="1" applyProtection="1">
      <alignment horizontal="left"/>
      <protection locked="0"/>
    </xf>
    <xf numFmtId="0" fontId="2" fillId="0" borderId="17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/>
    </xf>
    <xf numFmtId="0" fontId="5" fillId="0" borderId="0" xfId="0" applyFont="1" applyAlignment="1">
      <alignment horizontal="right"/>
    </xf>
    <xf numFmtId="0" fontId="2" fillId="0" borderId="0" xfId="0" applyFont="1" applyAlignment="1">
      <alignment horizontal="right" vertical="center"/>
    </xf>
    <xf numFmtId="0" fontId="19" fillId="6" borderId="3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  <protection hidden="1"/>
    </xf>
    <xf numFmtId="164" fontId="3" fillId="0" borderId="1" xfId="0" applyNumberFormat="1" applyFont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5" fillId="0" borderId="0" xfId="0" applyFont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0" fontId="5" fillId="0" borderId="0" xfId="0" applyFont="1" applyAlignment="1" applyProtection="1">
      <alignment horizontal="right"/>
      <protection hidden="1"/>
    </xf>
    <xf numFmtId="0" fontId="5" fillId="0" borderId="0" xfId="0" applyFont="1" applyAlignment="1" applyProtection="1">
      <alignment horizontal="left"/>
      <protection hidden="1"/>
    </xf>
    <xf numFmtId="0" fontId="2" fillId="0" borderId="6" xfId="0" applyFont="1" applyBorder="1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left"/>
      <protection hidden="1"/>
    </xf>
    <xf numFmtId="0" fontId="8" fillId="5" borderId="0" xfId="0" applyFont="1" applyFill="1" applyAlignment="1" applyProtection="1">
      <alignment horizontal="center"/>
      <protection hidden="1"/>
    </xf>
    <xf numFmtId="164" fontId="3" fillId="0" borderId="1" xfId="0" applyNumberFormat="1" applyFont="1" applyBorder="1" applyAlignment="1" applyProtection="1">
      <alignment horizontal="center"/>
      <protection hidden="1"/>
    </xf>
    <xf numFmtId="0" fontId="3" fillId="0" borderId="1" xfId="0" applyFont="1" applyBorder="1" applyAlignment="1" applyProtection="1">
      <alignment horizontal="left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Alignment="1" applyProtection="1">
      <alignment horizontal="left"/>
      <protection hidden="1"/>
    </xf>
    <xf numFmtId="0" fontId="4" fillId="2" borderId="3" xfId="0" applyFont="1" applyFill="1" applyBorder="1" applyAlignment="1" applyProtection="1">
      <alignment horizontal="center" vertical="center" wrapText="1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/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0" fontId="6" fillId="4" borderId="3" xfId="0" applyFont="1" applyFill="1" applyBorder="1" applyAlignment="1" applyProtection="1">
      <alignment horizontal="center"/>
      <protection hidden="1"/>
    </xf>
    <xf numFmtId="0" fontId="2" fillId="0" borderId="0" xfId="0" applyFont="1" applyBorder="1" applyAlignment="1" applyProtection="1">
      <alignment horizontal="center"/>
      <protection hidden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9F76C7"/>
      <color rgb="FFBF82E6"/>
      <color rgb="FFCC8B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2571750</xdr:colOff>
      <xdr:row>17</xdr:row>
      <xdr:rowOff>76200</xdr:rowOff>
    </xdr:from>
    <xdr:ext cx="65" cy="34445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6F1FFE-BFF1-4C34-E632-ABDA764AEC8F}"/>
            </a:ext>
          </a:extLst>
        </xdr:cNvPr>
        <xdr:cNvSpPr txBox="1"/>
      </xdr:nvSpPr>
      <xdr:spPr>
        <a:xfrm>
          <a:off x="8731250" y="3530600"/>
          <a:ext cx="65" cy="34445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  <a:p>
          <a:endParaRPr lang="en-US" sz="1100"/>
        </a:p>
      </xdr:txBody>
    </xdr:sp>
    <xdr:clientData/>
  </xdr:oneCellAnchor>
  <xdr:oneCellAnchor>
    <xdr:from>
      <xdr:col>2</xdr:col>
      <xdr:colOff>2571750</xdr:colOff>
      <xdr:row>17</xdr:row>
      <xdr:rowOff>76200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62A52E2-1B6C-DF96-4EE2-61AAB1AFDF70}"/>
            </a:ext>
          </a:extLst>
        </xdr:cNvPr>
        <xdr:cNvSpPr txBox="1"/>
      </xdr:nvSpPr>
      <xdr:spPr>
        <a:xfrm>
          <a:off x="8731250" y="3530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1360-4E9B-6E4A-A983-BBCA75F2861D}">
  <dimension ref="A1:E141"/>
  <sheetViews>
    <sheetView view="pageBreakPreview" zoomScale="160" zoomScaleNormal="100" zoomScaleSheetLayoutView="160" workbookViewId="0">
      <selection activeCell="A10" sqref="A10"/>
    </sheetView>
  </sheetViews>
  <sheetFormatPr baseColWidth="10" defaultRowHeight="14" x14ac:dyDescent="0.2"/>
  <cols>
    <col min="1" max="1" width="5.5" style="6" customWidth="1"/>
    <col min="2" max="2" width="39.1640625" style="5" bestFit="1" customWidth="1"/>
    <col min="3" max="3" width="43" style="5" bestFit="1" customWidth="1"/>
    <col min="4" max="5" width="10.83203125" style="6"/>
    <col min="6" max="16384" width="10.83203125" style="2"/>
  </cols>
  <sheetData>
    <row r="1" spans="1:5" ht="59" customHeight="1" x14ac:dyDescent="0.2">
      <c r="A1" s="131" t="s">
        <v>10</v>
      </c>
      <c r="B1" s="131"/>
      <c r="C1" s="131"/>
      <c r="D1" s="131"/>
      <c r="E1" s="131"/>
    </row>
    <row r="3" spans="1:5" x14ac:dyDescent="0.2">
      <c r="A3" s="3" t="s">
        <v>14</v>
      </c>
    </row>
    <row r="4" spans="1:5" x14ac:dyDescent="0.2">
      <c r="A4" s="3" t="s">
        <v>11</v>
      </c>
      <c r="C4" s="4"/>
      <c r="D4" s="7"/>
      <c r="E4" s="7"/>
    </row>
    <row r="5" spans="1:5" ht="15" x14ac:dyDescent="0.2">
      <c r="A5" s="3" t="s">
        <v>12</v>
      </c>
      <c r="B5" s="4"/>
      <c r="C5" s="5" t="s">
        <v>13</v>
      </c>
      <c r="D5" s="7"/>
      <c r="E5" s="7"/>
    </row>
    <row r="6" spans="1:5" x14ac:dyDescent="0.2">
      <c r="A6" s="3" t="s">
        <v>192</v>
      </c>
    </row>
    <row r="8" spans="1:5" x14ac:dyDescent="0.2">
      <c r="A8" s="8" t="s">
        <v>0</v>
      </c>
    </row>
    <row r="9" spans="1:5" ht="20" customHeight="1" x14ac:dyDescent="0.2">
      <c r="A9" s="3" t="s">
        <v>226</v>
      </c>
    </row>
    <row r="10" spans="1:5" ht="20" customHeight="1" x14ac:dyDescent="0.2">
      <c r="A10" s="9" t="s">
        <v>227</v>
      </c>
    </row>
    <row r="12" spans="1:5" x14ac:dyDescent="0.2">
      <c r="A12" s="127" t="s">
        <v>1</v>
      </c>
      <c r="B12" s="127"/>
      <c r="C12" s="127"/>
      <c r="D12" s="127"/>
      <c r="E12" s="127"/>
    </row>
    <row r="13" spans="1:5" x14ac:dyDescent="0.2">
      <c r="A13" s="132" t="s">
        <v>2</v>
      </c>
      <c r="B13" s="132"/>
      <c r="C13" s="132"/>
      <c r="D13" s="132"/>
      <c r="E13" s="132"/>
    </row>
    <row r="14" spans="1:5" ht="15" x14ac:dyDescent="0.2">
      <c r="A14" s="11" t="s">
        <v>3</v>
      </c>
      <c r="B14" s="12" t="s">
        <v>15</v>
      </c>
      <c r="C14" s="12" t="s">
        <v>16</v>
      </c>
      <c r="D14" s="11" t="s">
        <v>17</v>
      </c>
      <c r="E14" s="11" t="s">
        <v>18</v>
      </c>
    </row>
    <row r="15" spans="1:5" ht="30" x14ac:dyDescent="0.2">
      <c r="A15" s="13">
        <v>1</v>
      </c>
      <c r="B15" s="14" t="s">
        <v>19</v>
      </c>
      <c r="C15" s="14" t="s">
        <v>20</v>
      </c>
      <c r="D15" s="13" t="s">
        <v>4</v>
      </c>
      <c r="E15" s="13" t="s">
        <v>4</v>
      </c>
    </row>
    <row r="16" spans="1:5" ht="36" customHeight="1" x14ac:dyDescent="0.2">
      <c r="A16" s="13">
        <v>2</v>
      </c>
      <c r="B16" s="14" t="s">
        <v>21</v>
      </c>
      <c r="C16" s="14" t="s">
        <v>22</v>
      </c>
      <c r="D16" s="13" t="s">
        <v>4</v>
      </c>
      <c r="E16" s="13" t="s">
        <v>4</v>
      </c>
    </row>
    <row r="17" spans="1:5" ht="30" x14ac:dyDescent="0.2">
      <c r="A17" s="13">
        <v>3</v>
      </c>
      <c r="B17" s="14" t="s">
        <v>23</v>
      </c>
      <c r="C17" s="14" t="s">
        <v>24</v>
      </c>
      <c r="D17" s="13" t="s">
        <v>4</v>
      </c>
      <c r="E17" s="13" t="s">
        <v>4</v>
      </c>
    </row>
    <row r="18" spans="1:5" ht="30" x14ac:dyDescent="0.2">
      <c r="A18" s="13">
        <v>4</v>
      </c>
      <c r="B18" s="14" t="s">
        <v>25</v>
      </c>
      <c r="C18" s="14" t="s">
        <v>26</v>
      </c>
      <c r="D18" s="13" t="s">
        <v>4</v>
      </c>
      <c r="E18" s="13" t="s">
        <v>4</v>
      </c>
    </row>
    <row r="19" spans="1:5" ht="30" x14ac:dyDescent="0.2">
      <c r="A19" s="13">
        <v>5</v>
      </c>
      <c r="B19" s="14" t="s">
        <v>27</v>
      </c>
      <c r="C19" s="14" t="s">
        <v>28</v>
      </c>
      <c r="D19" s="13" t="s">
        <v>4</v>
      </c>
      <c r="E19" s="13" t="s">
        <v>4</v>
      </c>
    </row>
    <row r="20" spans="1:5" ht="30" x14ac:dyDescent="0.2">
      <c r="A20" s="13">
        <v>6</v>
      </c>
      <c r="B20" s="14" t="s">
        <v>29</v>
      </c>
      <c r="C20" s="14" t="s">
        <v>30</v>
      </c>
      <c r="D20" s="13" t="s">
        <v>4</v>
      </c>
      <c r="E20" s="13" t="s">
        <v>4</v>
      </c>
    </row>
    <row r="21" spans="1:5" ht="30" x14ac:dyDescent="0.2">
      <c r="A21" s="13">
        <v>7</v>
      </c>
      <c r="B21" s="14" t="s">
        <v>31</v>
      </c>
      <c r="C21" s="14" t="s">
        <v>32</v>
      </c>
      <c r="D21" s="13" t="s">
        <v>4</v>
      </c>
      <c r="E21" s="13" t="s">
        <v>4</v>
      </c>
    </row>
    <row r="22" spans="1:5" ht="30" x14ac:dyDescent="0.2">
      <c r="A22" s="13">
        <v>8</v>
      </c>
      <c r="B22" s="14" t="s">
        <v>33</v>
      </c>
      <c r="C22" s="14" t="s">
        <v>34</v>
      </c>
      <c r="D22" s="13" t="s">
        <v>4</v>
      </c>
      <c r="E22" s="13" t="s">
        <v>4</v>
      </c>
    </row>
    <row r="23" spans="1:5" ht="30" x14ac:dyDescent="0.2">
      <c r="A23" s="13">
        <v>9</v>
      </c>
      <c r="B23" s="14" t="s">
        <v>35</v>
      </c>
      <c r="C23" s="14" t="s">
        <v>36</v>
      </c>
      <c r="D23" s="13" t="s">
        <v>4</v>
      </c>
      <c r="E23" s="13" t="s">
        <v>4</v>
      </c>
    </row>
    <row r="24" spans="1:5" ht="30" x14ac:dyDescent="0.2">
      <c r="A24" s="13">
        <v>10</v>
      </c>
      <c r="B24" s="14" t="s">
        <v>37</v>
      </c>
      <c r="C24" s="14" t="s">
        <v>38</v>
      </c>
      <c r="D24" s="13" t="s">
        <v>4</v>
      </c>
      <c r="E24" s="13" t="s">
        <v>4</v>
      </c>
    </row>
    <row r="25" spans="1:5" ht="30" x14ac:dyDescent="0.2">
      <c r="A25" s="13">
        <v>11</v>
      </c>
      <c r="B25" s="14" t="s">
        <v>39</v>
      </c>
      <c r="C25" s="14" t="s">
        <v>40</v>
      </c>
      <c r="D25" s="13" t="s">
        <v>4</v>
      </c>
      <c r="E25" s="13" t="s">
        <v>4</v>
      </c>
    </row>
    <row r="26" spans="1:5" ht="30" x14ac:dyDescent="0.2">
      <c r="A26" s="13">
        <v>12</v>
      </c>
      <c r="B26" s="14" t="s">
        <v>41</v>
      </c>
      <c r="C26" s="14" t="s">
        <v>42</v>
      </c>
      <c r="D26" s="13" t="s">
        <v>4</v>
      </c>
      <c r="E26" s="13" t="s">
        <v>4</v>
      </c>
    </row>
    <row r="28" spans="1:5" x14ac:dyDescent="0.2">
      <c r="A28" s="127" t="s">
        <v>43</v>
      </c>
      <c r="B28" s="127"/>
      <c r="C28" s="127"/>
      <c r="D28" s="127"/>
      <c r="E28" s="127"/>
    </row>
    <row r="29" spans="1:5" ht="18" customHeight="1" x14ac:dyDescent="0.2">
      <c r="A29" s="10" t="s">
        <v>44</v>
      </c>
      <c r="B29" s="14"/>
      <c r="C29" s="14"/>
      <c r="D29" s="13"/>
      <c r="E29" s="13"/>
    </row>
    <row r="30" spans="1:5" ht="15" x14ac:dyDescent="0.2">
      <c r="A30" s="11" t="s">
        <v>3</v>
      </c>
      <c r="B30" s="12" t="s">
        <v>15</v>
      </c>
      <c r="C30" s="12" t="s">
        <v>16</v>
      </c>
      <c r="D30" s="11" t="s">
        <v>17</v>
      </c>
      <c r="E30" s="11" t="s">
        <v>18</v>
      </c>
    </row>
    <row r="31" spans="1:5" ht="15" x14ac:dyDescent="0.2">
      <c r="A31" s="13">
        <v>1</v>
      </c>
      <c r="B31" s="14" t="s">
        <v>45</v>
      </c>
      <c r="C31" s="14" t="s">
        <v>46</v>
      </c>
      <c r="D31" s="13" t="s">
        <v>4</v>
      </c>
      <c r="E31" s="13" t="s">
        <v>4</v>
      </c>
    </row>
    <row r="32" spans="1:5" ht="30" x14ac:dyDescent="0.2">
      <c r="A32" s="13">
        <v>2</v>
      </c>
      <c r="B32" s="14" t="s">
        <v>47</v>
      </c>
      <c r="C32" s="14" t="s">
        <v>48</v>
      </c>
      <c r="D32" s="13" t="s">
        <v>4</v>
      </c>
      <c r="E32" s="13" t="s">
        <v>4</v>
      </c>
    </row>
    <row r="33" spans="1:5" ht="15" x14ac:dyDescent="0.2">
      <c r="A33" s="13">
        <v>3</v>
      </c>
      <c r="B33" s="14" t="s">
        <v>49</v>
      </c>
      <c r="C33" s="14" t="s">
        <v>50</v>
      </c>
      <c r="D33" s="13" t="s">
        <v>4</v>
      </c>
      <c r="E33" s="13" t="s">
        <v>4</v>
      </c>
    </row>
    <row r="34" spans="1:5" ht="15" x14ac:dyDescent="0.2">
      <c r="A34" s="13">
        <v>4</v>
      </c>
      <c r="B34" s="14" t="s">
        <v>51</v>
      </c>
      <c r="C34" s="14" t="s">
        <v>52</v>
      </c>
      <c r="D34" s="13" t="s">
        <v>4</v>
      </c>
      <c r="E34" s="13" t="s">
        <v>4</v>
      </c>
    </row>
    <row r="35" spans="1:5" ht="15" x14ac:dyDescent="0.2">
      <c r="A35" s="13">
        <v>5</v>
      </c>
      <c r="B35" s="14" t="s">
        <v>53</v>
      </c>
      <c r="C35" s="14" t="s">
        <v>54</v>
      </c>
      <c r="D35" s="13" t="s">
        <v>4</v>
      </c>
      <c r="E35" s="13" t="s">
        <v>4</v>
      </c>
    </row>
    <row r="36" spans="1:5" ht="30" x14ac:dyDescent="0.2">
      <c r="A36" s="13">
        <v>6</v>
      </c>
      <c r="B36" s="14" t="s">
        <v>55</v>
      </c>
      <c r="C36" s="14" t="s">
        <v>56</v>
      </c>
      <c r="D36" s="13" t="s">
        <v>4</v>
      </c>
      <c r="E36" s="13" t="s">
        <v>4</v>
      </c>
    </row>
    <row r="37" spans="1:5" ht="30" x14ac:dyDescent="0.2">
      <c r="A37" s="13">
        <v>7</v>
      </c>
      <c r="B37" s="14" t="s">
        <v>57</v>
      </c>
      <c r="C37" s="14" t="s">
        <v>58</v>
      </c>
      <c r="D37" s="13" t="s">
        <v>4</v>
      </c>
      <c r="E37" s="13" t="s">
        <v>4</v>
      </c>
    </row>
    <row r="38" spans="1:5" ht="30" x14ac:dyDescent="0.2">
      <c r="A38" s="13">
        <v>8</v>
      </c>
      <c r="B38" s="14" t="s">
        <v>59</v>
      </c>
      <c r="C38" s="14" t="s">
        <v>60</v>
      </c>
      <c r="D38" s="13" t="s">
        <v>4</v>
      </c>
      <c r="E38" s="13" t="s">
        <v>4</v>
      </c>
    </row>
    <row r="39" spans="1:5" ht="15" x14ac:dyDescent="0.2">
      <c r="A39" s="13">
        <v>9</v>
      </c>
      <c r="B39" s="14" t="s">
        <v>61</v>
      </c>
      <c r="C39" s="14" t="s">
        <v>62</v>
      </c>
      <c r="D39" s="13" t="s">
        <v>4</v>
      </c>
      <c r="E39" s="13" t="s">
        <v>4</v>
      </c>
    </row>
    <row r="40" spans="1:5" ht="30" x14ac:dyDescent="0.2">
      <c r="A40" s="13">
        <v>10</v>
      </c>
      <c r="B40" s="14" t="s">
        <v>63</v>
      </c>
      <c r="C40" s="14" t="s">
        <v>64</v>
      </c>
      <c r="D40" s="13" t="s">
        <v>4</v>
      </c>
      <c r="E40" s="13" t="s">
        <v>4</v>
      </c>
    </row>
    <row r="41" spans="1:5" ht="30" x14ac:dyDescent="0.2">
      <c r="A41" s="13">
        <v>11</v>
      </c>
      <c r="B41" s="14" t="s">
        <v>65</v>
      </c>
      <c r="C41" s="14" t="s">
        <v>66</v>
      </c>
      <c r="D41" s="13" t="s">
        <v>4</v>
      </c>
      <c r="E41" s="13" t="s">
        <v>4</v>
      </c>
    </row>
    <row r="42" spans="1:5" ht="30" x14ac:dyDescent="0.2">
      <c r="A42" s="13">
        <v>12</v>
      </c>
      <c r="B42" s="14" t="s">
        <v>67</v>
      </c>
      <c r="C42" s="14" t="s">
        <v>68</v>
      </c>
      <c r="D42" s="13" t="s">
        <v>4</v>
      </c>
      <c r="E42" s="13" t="s">
        <v>4</v>
      </c>
    </row>
    <row r="43" spans="1:5" ht="30" x14ac:dyDescent="0.2">
      <c r="A43" s="13">
        <v>13</v>
      </c>
      <c r="B43" s="14" t="s">
        <v>138</v>
      </c>
      <c r="C43" s="14" t="s">
        <v>139</v>
      </c>
      <c r="D43" s="13" t="s">
        <v>4</v>
      </c>
      <c r="E43" s="13" t="s">
        <v>4</v>
      </c>
    </row>
    <row r="44" spans="1:5" ht="27" customHeight="1" x14ac:dyDescent="0.2">
      <c r="A44" s="128"/>
      <c r="B44" s="129"/>
      <c r="C44" s="129"/>
      <c r="D44" s="129"/>
      <c r="E44" s="130"/>
    </row>
    <row r="45" spans="1:5" x14ac:dyDescent="0.2">
      <c r="A45" s="124" t="s">
        <v>69</v>
      </c>
      <c r="B45" s="125"/>
      <c r="C45" s="125"/>
      <c r="D45" s="125"/>
      <c r="E45" s="126"/>
    </row>
    <row r="46" spans="1:5" ht="15" customHeight="1" x14ac:dyDescent="0.2">
      <c r="A46" s="10" t="s">
        <v>70</v>
      </c>
      <c r="B46" s="14"/>
      <c r="C46" s="14"/>
      <c r="D46" s="13"/>
      <c r="E46" s="13"/>
    </row>
    <row r="47" spans="1:5" ht="15" x14ac:dyDescent="0.2">
      <c r="A47" s="11" t="s">
        <v>3</v>
      </c>
      <c r="B47" s="12" t="s">
        <v>15</v>
      </c>
      <c r="C47" s="12" t="s">
        <v>16</v>
      </c>
      <c r="D47" s="11" t="s">
        <v>17</v>
      </c>
      <c r="E47" s="11" t="s">
        <v>18</v>
      </c>
    </row>
    <row r="48" spans="1:5" ht="15" x14ac:dyDescent="0.2">
      <c r="A48" s="13">
        <v>1</v>
      </c>
      <c r="B48" s="14" t="s">
        <v>71</v>
      </c>
      <c r="C48" s="14" t="s">
        <v>72</v>
      </c>
      <c r="D48" s="13" t="s">
        <v>4</v>
      </c>
      <c r="E48" s="13" t="s">
        <v>4</v>
      </c>
    </row>
    <row r="49" spans="1:5" ht="15" x14ac:dyDescent="0.2">
      <c r="A49" s="13">
        <v>2</v>
      </c>
      <c r="B49" s="14" t="s">
        <v>73</v>
      </c>
      <c r="C49" s="14" t="s">
        <v>74</v>
      </c>
      <c r="D49" s="13" t="s">
        <v>4</v>
      </c>
      <c r="E49" s="13" t="s">
        <v>4</v>
      </c>
    </row>
    <row r="50" spans="1:5" ht="15" x14ac:dyDescent="0.2">
      <c r="A50" s="13">
        <v>3</v>
      </c>
      <c r="B50" s="14" t="s">
        <v>75</v>
      </c>
      <c r="C50" s="14" t="s">
        <v>76</v>
      </c>
      <c r="D50" s="13" t="s">
        <v>4</v>
      </c>
      <c r="E50" s="13" t="s">
        <v>4</v>
      </c>
    </row>
    <row r="51" spans="1:5" ht="15" x14ac:dyDescent="0.2">
      <c r="A51" s="13">
        <v>4</v>
      </c>
      <c r="B51" s="14" t="s">
        <v>77</v>
      </c>
      <c r="C51" s="14" t="s">
        <v>78</v>
      </c>
      <c r="D51" s="13" t="s">
        <v>4</v>
      </c>
      <c r="E51" s="13" t="s">
        <v>4</v>
      </c>
    </row>
    <row r="52" spans="1:5" ht="15" x14ac:dyDescent="0.2">
      <c r="A52" s="13">
        <v>5</v>
      </c>
      <c r="B52" s="14" t="s">
        <v>79</v>
      </c>
      <c r="C52" s="14" t="s">
        <v>80</v>
      </c>
      <c r="D52" s="13" t="s">
        <v>4</v>
      </c>
      <c r="E52" s="13" t="s">
        <v>4</v>
      </c>
    </row>
    <row r="53" spans="1:5" ht="15" x14ac:dyDescent="0.2">
      <c r="A53" s="13">
        <v>6</v>
      </c>
      <c r="B53" s="14" t="s">
        <v>81</v>
      </c>
      <c r="C53" s="14" t="s">
        <v>82</v>
      </c>
      <c r="D53" s="13" t="s">
        <v>4</v>
      </c>
      <c r="E53" s="13" t="s">
        <v>4</v>
      </c>
    </row>
    <row r="54" spans="1:5" ht="30" x14ac:dyDescent="0.2">
      <c r="A54" s="13">
        <v>7</v>
      </c>
      <c r="B54" s="14" t="s">
        <v>83</v>
      </c>
      <c r="C54" s="14" t="s">
        <v>84</v>
      </c>
      <c r="D54" s="13" t="s">
        <v>4</v>
      </c>
      <c r="E54" s="13" t="s">
        <v>4</v>
      </c>
    </row>
    <row r="55" spans="1:5" ht="30" x14ac:dyDescent="0.2">
      <c r="A55" s="13">
        <v>8</v>
      </c>
      <c r="B55" s="14" t="s">
        <v>85</v>
      </c>
      <c r="C55" s="14" t="s">
        <v>86</v>
      </c>
      <c r="D55" s="13" t="s">
        <v>4</v>
      </c>
      <c r="E55" s="13" t="s">
        <v>4</v>
      </c>
    </row>
    <row r="56" spans="1:5" ht="15" x14ac:dyDescent="0.2">
      <c r="A56" s="13">
        <v>9</v>
      </c>
      <c r="B56" s="14" t="s">
        <v>87</v>
      </c>
      <c r="C56" s="14" t="s">
        <v>88</v>
      </c>
      <c r="D56" s="13" t="s">
        <v>4</v>
      </c>
      <c r="E56" s="13" t="s">
        <v>4</v>
      </c>
    </row>
    <row r="57" spans="1:5" ht="30" x14ac:dyDescent="0.2">
      <c r="A57" s="13">
        <v>10</v>
      </c>
      <c r="B57" s="14" t="s">
        <v>89</v>
      </c>
      <c r="C57" s="14" t="s">
        <v>90</v>
      </c>
      <c r="D57" s="13" t="s">
        <v>4</v>
      </c>
      <c r="E57" s="13" t="s">
        <v>4</v>
      </c>
    </row>
    <row r="58" spans="1:5" ht="15" x14ac:dyDescent="0.2">
      <c r="A58" s="13">
        <v>11</v>
      </c>
      <c r="B58" s="14" t="s">
        <v>91</v>
      </c>
      <c r="C58" s="14" t="s">
        <v>92</v>
      </c>
      <c r="D58" s="13" t="s">
        <v>4</v>
      </c>
      <c r="E58" s="13" t="s">
        <v>4</v>
      </c>
    </row>
    <row r="59" spans="1:5" ht="15" x14ac:dyDescent="0.2">
      <c r="A59" s="13">
        <v>12</v>
      </c>
      <c r="B59" s="14" t="s">
        <v>93</v>
      </c>
      <c r="C59" s="14" t="s">
        <v>94</v>
      </c>
      <c r="D59" s="13" t="s">
        <v>4</v>
      </c>
      <c r="E59" s="13" t="s">
        <v>4</v>
      </c>
    </row>
    <row r="61" spans="1:5" x14ac:dyDescent="0.2">
      <c r="A61" s="127" t="s">
        <v>95</v>
      </c>
      <c r="B61" s="127"/>
      <c r="C61" s="127"/>
      <c r="D61" s="127"/>
      <c r="E61" s="127"/>
    </row>
    <row r="62" spans="1:5" x14ac:dyDescent="0.2">
      <c r="A62" s="127" t="s">
        <v>96</v>
      </c>
      <c r="B62" s="127"/>
      <c r="C62" s="127"/>
      <c r="D62" s="127"/>
      <c r="E62" s="127"/>
    </row>
    <row r="63" spans="1:5" ht="15" x14ac:dyDescent="0.2">
      <c r="A63" s="11" t="s">
        <v>3</v>
      </c>
      <c r="B63" s="12" t="s">
        <v>15</v>
      </c>
      <c r="C63" s="12" t="s">
        <v>16</v>
      </c>
      <c r="D63" s="11" t="s">
        <v>17</v>
      </c>
      <c r="E63" s="11" t="s">
        <v>18</v>
      </c>
    </row>
    <row r="64" spans="1:5" ht="30" x14ac:dyDescent="0.2">
      <c r="A64" s="13">
        <v>1</v>
      </c>
      <c r="B64" s="14" t="s">
        <v>97</v>
      </c>
      <c r="C64" s="14" t="s">
        <v>98</v>
      </c>
      <c r="D64" s="13" t="s">
        <v>4</v>
      </c>
      <c r="E64" s="13" t="s">
        <v>4</v>
      </c>
    </row>
    <row r="65" spans="1:5" ht="15" x14ac:dyDescent="0.2">
      <c r="A65" s="13">
        <v>2</v>
      </c>
      <c r="B65" s="14" t="s">
        <v>99</v>
      </c>
      <c r="C65" s="14" t="s">
        <v>100</v>
      </c>
      <c r="D65" s="13" t="s">
        <v>4</v>
      </c>
      <c r="E65" s="13" t="s">
        <v>4</v>
      </c>
    </row>
    <row r="66" spans="1:5" ht="15" x14ac:dyDescent="0.2">
      <c r="A66" s="13">
        <v>3</v>
      </c>
      <c r="B66" s="14" t="s">
        <v>101</v>
      </c>
      <c r="C66" s="14" t="s">
        <v>102</v>
      </c>
      <c r="D66" s="13" t="s">
        <v>4</v>
      </c>
      <c r="E66" s="13" t="s">
        <v>4</v>
      </c>
    </row>
    <row r="67" spans="1:5" ht="15" x14ac:dyDescent="0.2">
      <c r="A67" s="13">
        <v>4</v>
      </c>
      <c r="B67" s="14" t="s">
        <v>103</v>
      </c>
      <c r="C67" s="14" t="s">
        <v>104</v>
      </c>
      <c r="D67" s="13" t="s">
        <v>4</v>
      </c>
      <c r="E67" s="13" t="s">
        <v>4</v>
      </c>
    </row>
    <row r="68" spans="1:5" ht="15" x14ac:dyDescent="0.2">
      <c r="A68" s="13">
        <v>5</v>
      </c>
      <c r="B68" s="14" t="s">
        <v>105</v>
      </c>
      <c r="C68" s="14" t="s">
        <v>106</v>
      </c>
      <c r="D68" s="13" t="s">
        <v>4</v>
      </c>
      <c r="E68" s="13" t="s">
        <v>4</v>
      </c>
    </row>
    <row r="69" spans="1:5" ht="30" x14ac:dyDescent="0.2">
      <c r="A69" s="13">
        <v>6</v>
      </c>
      <c r="B69" s="14" t="s">
        <v>107</v>
      </c>
      <c r="C69" s="14" t="s">
        <v>108</v>
      </c>
      <c r="D69" s="13" t="s">
        <v>4</v>
      </c>
      <c r="E69" s="13" t="s">
        <v>4</v>
      </c>
    </row>
    <row r="70" spans="1:5" ht="30" x14ac:dyDescent="0.2">
      <c r="A70" s="13">
        <v>7</v>
      </c>
      <c r="B70" s="14" t="s">
        <v>109</v>
      </c>
      <c r="C70" s="14" t="s">
        <v>110</v>
      </c>
      <c r="D70" s="13" t="s">
        <v>4</v>
      </c>
      <c r="E70" s="13" t="s">
        <v>4</v>
      </c>
    </row>
    <row r="71" spans="1:5" ht="30" x14ac:dyDescent="0.2">
      <c r="A71" s="13">
        <v>8</v>
      </c>
      <c r="B71" s="14" t="s">
        <v>111</v>
      </c>
      <c r="C71" s="14" t="s">
        <v>112</v>
      </c>
      <c r="D71" s="13" t="s">
        <v>4</v>
      </c>
      <c r="E71" s="13" t="s">
        <v>4</v>
      </c>
    </row>
    <row r="72" spans="1:5" ht="30" x14ac:dyDescent="0.2">
      <c r="A72" s="13">
        <v>9</v>
      </c>
      <c r="B72" s="14" t="s">
        <v>113</v>
      </c>
      <c r="C72" s="14" t="s">
        <v>114</v>
      </c>
      <c r="D72" s="13" t="s">
        <v>4</v>
      </c>
      <c r="E72" s="13" t="s">
        <v>4</v>
      </c>
    </row>
    <row r="73" spans="1:5" ht="30" x14ac:dyDescent="0.2">
      <c r="A73" s="13">
        <v>10</v>
      </c>
      <c r="B73" s="14" t="s">
        <v>115</v>
      </c>
      <c r="C73" s="14" t="s">
        <v>116</v>
      </c>
      <c r="D73" s="13" t="s">
        <v>4</v>
      </c>
      <c r="E73" s="13" t="s">
        <v>4</v>
      </c>
    </row>
    <row r="74" spans="1:5" ht="27" customHeight="1" x14ac:dyDescent="0.2">
      <c r="A74" s="128"/>
      <c r="B74" s="129"/>
      <c r="C74" s="129"/>
      <c r="D74" s="129"/>
      <c r="E74" s="130"/>
    </row>
    <row r="75" spans="1:5" ht="27" customHeight="1" x14ac:dyDescent="0.2">
      <c r="A75" s="127" t="s">
        <v>117</v>
      </c>
      <c r="B75" s="127"/>
      <c r="C75" s="127"/>
      <c r="D75" s="127"/>
      <c r="E75" s="127"/>
    </row>
    <row r="76" spans="1:5" ht="15" x14ac:dyDescent="0.2">
      <c r="A76" s="11" t="s">
        <v>3</v>
      </c>
      <c r="B76" s="12" t="s">
        <v>15</v>
      </c>
      <c r="C76" s="12" t="s">
        <v>16</v>
      </c>
      <c r="D76" s="11" t="s">
        <v>17</v>
      </c>
      <c r="E76" s="11" t="s">
        <v>18</v>
      </c>
    </row>
    <row r="77" spans="1:5" ht="15" x14ac:dyDescent="0.2">
      <c r="A77" s="13">
        <v>1</v>
      </c>
      <c r="B77" s="14" t="s">
        <v>118</v>
      </c>
      <c r="C77" s="14" t="s">
        <v>119</v>
      </c>
      <c r="D77" s="13" t="s">
        <v>4</v>
      </c>
      <c r="E77" s="13" t="s">
        <v>4</v>
      </c>
    </row>
    <row r="78" spans="1:5" ht="15" x14ac:dyDescent="0.2">
      <c r="A78" s="13">
        <v>2</v>
      </c>
      <c r="B78" s="14" t="s">
        <v>120</v>
      </c>
      <c r="C78" s="14" t="s">
        <v>121</v>
      </c>
      <c r="D78" s="13" t="s">
        <v>4</v>
      </c>
      <c r="E78" s="13" t="s">
        <v>4</v>
      </c>
    </row>
    <row r="79" spans="1:5" ht="15" x14ac:dyDescent="0.2">
      <c r="A79" s="13">
        <v>3</v>
      </c>
      <c r="B79" s="14" t="s">
        <v>122</v>
      </c>
      <c r="C79" s="14" t="s">
        <v>123</v>
      </c>
      <c r="D79" s="13" t="s">
        <v>4</v>
      </c>
      <c r="E79" s="13" t="s">
        <v>4</v>
      </c>
    </row>
    <row r="80" spans="1:5" ht="15" x14ac:dyDescent="0.2">
      <c r="A80" s="13">
        <v>4</v>
      </c>
      <c r="B80" s="14" t="s">
        <v>124</v>
      </c>
      <c r="C80" s="14" t="s">
        <v>125</v>
      </c>
      <c r="D80" s="13" t="s">
        <v>4</v>
      </c>
      <c r="E80" s="13" t="s">
        <v>4</v>
      </c>
    </row>
    <row r="81" spans="1:5" ht="15" x14ac:dyDescent="0.2">
      <c r="A81" s="13">
        <v>5</v>
      </c>
      <c r="B81" s="14" t="s">
        <v>126</v>
      </c>
      <c r="C81" s="14" t="s">
        <v>127</v>
      </c>
      <c r="D81" s="13" t="s">
        <v>4</v>
      </c>
      <c r="E81" s="13" t="s">
        <v>4</v>
      </c>
    </row>
    <row r="82" spans="1:5" ht="30" x14ac:dyDescent="0.2">
      <c r="A82" s="13">
        <v>6</v>
      </c>
      <c r="B82" s="14" t="s">
        <v>128</v>
      </c>
      <c r="C82" s="14" t="s">
        <v>129</v>
      </c>
      <c r="D82" s="13" t="s">
        <v>4</v>
      </c>
      <c r="E82" s="13" t="s">
        <v>4</v>
      </c>
    </row>
    <row r="83" spans="1:5" ht="15" x14ac:dyDescent="0.2">
      <c r="A83" s="13">
        <v>7</v>
      </c>
      <c r="B83" s="14" t="s">
        <v>130</v>
      </c>
      <c r="C83" s="14" t="s">
        <v>131</v>
      </c>
      <c r="D83" s="13" t="s">
        <v>4</v>
      </c>
      <c r="E83" s="13" t="s">
        <v>4</v>
      </c>
    </row>
    <row r="84" spans="1:5" ht="15" x14ac:dyDescent="0.2">
      <c r="A84" s="13">
        <v>8</v>
      </c>
      <c r="B84" s="14" t="s">
        <v>132</v>
      </c>
      <c r="C84" s="14" t="s">
        <v>133</v>
      </c>
      <c r="D84" s="13" t="s">
        <v>4</v>
      </c>
      <c r="E84" s="13" t="s">
        <v>4</v>
      </c>
    </row>
    <row r="85" spans="1:5" ht="30" x14ac:dyDescent="0.2">
      <c r="A85" s="13">
        <v>9</v>
      </c>
      <c r="B85" s="14" t="s">
        <v>134</v>
      </c>
      <c r="C85" s="14" t="s">
        <v>135</v>
      </c>
      <c r="D85" s="13" t="s">
        <v>4</v>
      </c>
      <c r="E85" s="13" t="s">
        <v>4</v>
      </c>
    </row>
    <row r="86" spans="1:5" ht="30" x14ac:dyDescent="0.2">
      <c r="A86" s="13">
        <v>10</v>
      </c>
      <c r="B86" s="14" t="s">
        <v>136</v>
      </c>
      <c r="C86" s="14" t="s">
        <v>137</v>
      </c>
      <c r="D86" s="13" t="s">
        <v>4</v>
      </c>
      <c r="E86" s="13" t="s">
        <v>4</v>
      </c>
    </row>
    <row r="88" spans="1:5" x14ac:dyDescent="0.15">
      <c r="B88" s="15" t="s">
        <v>140</v>
      </c>
      <c r="C88" s="16"/>
      <c r="D88" s="16"/>
    </row>
    <row r="89" spans="1:5" x14ac:dyDescent="0.15">
      <c r="B89" s="15" t="s">
        <v>141</v>
      </c>
      <c r="C89" s="15" t="s">
        <v>5</v>
      </c>
      <c r="D89" s="15" t="s">
        <v>142</v>
      </c>
    </row>
    <row r="90" spans="1:5" x14ac:dyDescent="0.15">
      <c r="B90" s="16" t="s">
        <v>6</v>
      </c>
      <c r="C90" s="16" t="s">
        <v>143</v>
      </c>
      <c r="D90" s="16" t="s">
        <v>144</v>
      </c>
    </row>
    <row r="91" spans="1:5" x14ac:dyDescent="0.15">
      <c r="B91" s="16" t="s">
        <v>7</v>
      </c>
      <c r="C91" s="16" t="s">
        <v>145</v>
      </c>
      <c r="D91" s="16" t="s">
        <v>146</v>
      </c>
    </row>
    <row r="92" spans="1:5" x14ac:dyDescent="0.15">
      <c r="B92" s="16" t="s">
        <v>8</v>
      </c>
      <c r="C92" s="16" t="s">
        <v>147</v>
      </c>
      <c r="D92" s="16" t="s">
        <v>148</v>
      </c>
    </row>
    <row r="93" spans="1:5" x14ac:dyDescent="0.15">
      <c r="B93" s="16" t="s">
        <v>9</v>
      </c>
      <c r="C93" s="16" t="s">
        <v>149</v>
      </c>
      <c r="D93" s="16" t="s">
        <v>150</v>
      </c>
    </row>
    <row r="96" spans="1:5" x14ac:dyDescent="0.15">
      <c r="B96" s="15" t="s">
        <v>151</v>
      </c>
    </row>
    <row r="97" spans="2:3" x14ac:dyDescent="0.15">
      <c r="B97" s="16" t="s">
        <v>152</v>
      </c>
    </row>
    <row r="98" spans="2:3" x14ac:dyDescent="0.15">
      <c r="B98" s="16" t="s">
        <v>153</v>
      </c>
    </row>
    <row r="99" spans="2:3" x14ac:dyDescent="0.15">
      <c r="B99" s="16" t="s">
        <v>154</v>
      </c>
    </row>
    <row r="102" spans="2:3" ht="18" x14ac:dyDescent="0.2">
      <c r="B102" s="17" t="s">
        <v>155</v>
      </c>
      <c r="C102" s="18"/>
    </row>
    <row r="103" spans="2:3" ht="16" x14ac:dyDescent="0.2">
      <c r="B103" s="19" t="s">
        <v>141</v>
      </c>
      <c r="C103" s="19" t="s">
        <v>142</v>
      </c>
    </row>
    <row r="104" spans="2:3" ht="16" x14ac:dyDescent="0.2">
      <c r="B104" s="18" t="s">
        <v>156</v>
      </c>
      <c r="C104" s="18" t="s">
        <v>157</v>
      </c>
    </row>
    <row r="105" spans="2:3" ht="16" x14ac:dyDescent="0.2">
      <c r="B105" s="18" t="s">
        <v>158</v>
      </c>
      <c r="C105" s="18" t="s">
        <v>159</v>
      </c>
    </row>
    <row r="106" spans="2:3" ht="16" x14ac:dyDescent="0.2">
      <c r="B106" s="18" t="s">
        <v>160</v>
      </c>
      <c r="C106" s="18" t="s">
        <v>161</v>
      </c>
    </row>
    <row r="107" spans="2:3" ht="16" x14ac:dyDescent="0.2">
      <c r="B107" s="18" t="s">
        <v>162</v>
      </c>
      <c r="C107" s="18" t="s">
        <v>163</v>
      </c>
    </row>
    <row r="108" spans="2:3" ht="16" x14ac:dyDescent="0.2">
      <c r="B108" s="18"/>
      <c r="C108" s="18"/>
    </row>
    <row r="109" spans="2:3" ht="16" x14ac:dyDescent="0.2">
      <c r="B109" s="18"/>
      <c r="C109" s="18"/>
    </row>
    <row r="110" spans="2:3" ht="18" x14ac:dyDescent="0.2">
      <c r="B110" s="17" t="s">
        <v>164</v>
      </c>
      <c r="C110" s="18"/>
    </row>
    <row r="111" spans="2:3" ht="16" x14ac:dyDescent="0.2">
      <c r="B111" s="19" t="s">
        <v>165</v>
      </c>
      <c r="C111" s="18"/>
    </row>
    <row r="112" spans="2:3" ht="16" x14ac:dyDescent="0.2">
      <c r="B112" s="19" t="s">
        <v>166</v>
      </c>
      <c r="C112" s="18"/>
    </row>
    <row r="113" spans="2:3" ht="16" x14ac:dyDescent="0.2">
      <c r="B113" s="18"/>
      <c r="C113" s="18"/>
    </row>
    <row r="114" spans="2:3" ht="16" x14ac:dyDescent="0.2">
      <c r="B114" s="19" t="s">
        <v>141</v>
      </c>
      <c r="C114" s="19" t="s">
        <v>142</v>
      </c>
    </row>
    <row r="115" spans="2:3" ht="16" x14ac:dyDescent="0.2">
      <c r="B115" s="18" t="s">
        <v>167</v>
      </c>
      <c r="C115" s="18" t="s">
        <v>157</v>
      </c>
    </row>
    <row r="116" spans="2:3" ht="16" x14ac:dyDescent="0.2">
      <c r="B116" s="18" t="s">
        <v>168</v>
      </c>
      <c r="C116" s="18" t="s">
        <v>169</v>
      </c>
    </row>
    <row r="117" spans="2:3" ht="16" x14ac:dyDescent="0.2">
      <c r="B117" s="18" t="s">
        <v>170</v>
      </c>
      <c r="C117" s="18" t="s">
        <v>171</v>
      </c>
    </row>
    <row r="118" spans="2:3" ht="16" x14ac:dyDescent="0.2">
      <c r="B118" s="18" t="s">
        <v>172</v>
      </c>
      <c r="C118" s="18" t="s">
        <v>173</v>
      </c>
    </row>
    <row r="119" spans="2:3" ht="16" x14ac:dyDescent="0.2">
      <c r="B119" s="18"/>
      <c r="C119" s="18"/>
    </row>
    <row r="120" spans="2:3" ht="16" x14ac:dyDescent="0.2">
      <c r="B120" s="18" t="s">
        <v>174</v>
      </c>
      <c r="C120" s="18"/>
    </row>
    <row r="121" spans="2:3" ht="16" x14ac:dyDescent="0.2">
      <c r="B121" s="18" t="s">
        <v>175</v>
      </c>
      <c r="C121" s="18"/>
    </row>
    <row r="122" spans="2:3" ht="16" x14ac:dyDescent="0.2">
      <c r="B122" s="18" t="s">
        <v>176</v>
      </c>
      <c r="C122" s="18"/>
    </row>
    <row r="124" spans="2:3" ht="30" x14ac:dyDescent="0.3">
      <c r="B124" s="20" t="s">
        <v>177</v>
      </c>
      <c r="C124" s="18"/>
    </row>
    <row r="125" spans="2:3" ht="16" x14ac:dyDescent="0.2">
      <c r="B125" s="18"/>
      <c r="C125" s="18"/>
    </row>
    <row r="126" spans="2:3" ht="16" x14ac:dyDescent="0.2">
      <c r="B126" s="18" t="s">
        <v>178</v>
      </c>
      <c r="C126" s="18"/>
    </row>
    <row r="127" spans="2:3" ht="16" x14ac:dyDescent="0.2">
      <c r="B127" s="18"/>
      <c r="C127" s="18"/>
    </row>
    <row r="128" spans="2:3" ht="16" x14ac:dyDescent="0.2">
      <c r="B128" s="18" t="s">
        <v>179</v>
      </c>
      <c r="C128" s="18"/>
    </row>
    <row r="129" spans="2:3" ht="16" x14ac:dyDescent="0.2">
      <c r="B129" s="18"/>
      <c r="C129" s="18"/>
    </row>
    <row r="130" spans="2:3" ht="16" x14ac:dyDescent="0.2">
      <c r="B130" s="18" t="s">
        <v>180</v>
      </c>
      <c r="C130" s="18"/>
    </row>
    <row r="131" spans="2:3" ht="16" x14ac:dyDescent="0.2">
      <c r="B131" s="18" t="s">
        <v>181</v>
      </c>
      <c r="C131" s="18"/>
    </row>
    <row r="132" spans="2:3" ht="16" x14ac:dyDescent="0.2">
      <c r="B132" s="18" t="s">
        <v>182</v>
      </c>
      <c r="C132" s="18"/>
    </row>
    <row r="133" spans="2:3" ht="16" x14ac:dyDescent="0.2">
      <c r="B133" s="18" t="s">
        <v>183</v>
      </c>
      <c r="C133" s="18"/>
    </row>
    <row r="134" spans="2:3" ht="16" x14ac:dyDescent="0.2">
      <c r="B134" s="18" t="s">
        <v>184</v>
      </c>
      <c r="C134" s="18"/>
    </row>
    <row r="135" spans="2:3" ht="16" x14ac:dyDescent="0.2">
      <c r="B135" s="18"/>
      <c r="C135" s="18"/>
    </row>
    <row r="136" spans="2:3" ht="18" x14ac:dyDescent="0.2">
      <c r="B136" s="17" t="s">
        <v>185</v>
      </c>
      <c r="C136" s="18"/>
    </row>
    <row r="137" spans="2:3" ht="16" x14ac:dyDescent="0.2">
      <c r="B137" s="19" t="s">
        <v>186</v>
      </c>
      <c r="C137" s="19" t="s">
        <v>187</v>
      </c>
    </row>
    <row r="138" spans="2:3" ht="16" x14ac:dyDescent="0.2">
      <c r="B138" s="18" t="s">
        <v>188</v>
      </c>
      <c r="C138" s="18" t="s">
        <v>157</v>
      </c>
    </row>
    <row r="139" spans="2:3" ht="16" x14ac:dyDescent="0.2">
      <c r="B139" s="18" t="s">
        <v>189</v>
      </c>
      <c r="C139" s="18" t="s">
        <v>159</v>
      </c>
    </row>
    <row r="140" spans="2:3" ht="16" x14ac:dyDescent="0.2">
      <c r="B140" s="18" t="s">
        <v>190</v>
      </c>
      <c r="C140" s="18" t="s">
        <v>161</v>
      </c>
    </row>
    <row r="141" spans="2:3" ht="16" x14ac:dyDescent="0.2">
      <c r="B141" s="18" t="s">
        <v>191</v>
      </c>
      <c r="C141" s="18" t="s">
        <v>163</v>
      </c>
    </row>
  </sheetData>
  <mergeCells count="10">
    <mergeCell ref="A1:E1"/>
    <mergeCell ref="A12:E12"/>
    <mergeCell ref="A13:E13"/>
    <mergeCell ref="A28:E28"/>
    <mergeCell ref="A44:E44"/>
    <mergeCell ref="A45:E45"/>
    <mergeCell ref="A61:E61"/>
    <mergeCell ref="A62:E62"/>
    <mergeCell ref="A75:E75"/>
    <mergeCell ref="A74:E74"/>
  </mergeCells>
  <pageMargins left="0.7" right="0.7" top="0.75" bottom="0.75" header="0.3" footer="0.3"/>
  <pageSetup paperSize="14" scale="47" orientation="portrait" horizontalDpi="0" verticalDpi="0"/>
  <rowBreaks count="2" manualBreakCount="2">
    <brk id="60" max="4" man="1"/>
    <brk id="141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EDCB-D771-3B4A-8149-5D3EA5DA3345}">
  <dimension ref="A1:M220"/>
  <sheetViews>
    <sheetView showGridLines="0" tabSelected="1" view="pageLayout" zoomScale="170" zoomScaleNormal="100" zoomScaleSheetLayoutView="209" zoomScalePageLayoutView="170" workbookViewId="0">
      <selection activeCell="E5" sqref="E5:F5"/>
    </sheetView>
  </sheetViews>
  <sheetFormatPr baseColWidth="10" defaultRowHeight="16" x14ac:dyDescent="0.2"/>
  <cols>
    <col min="1" max="1" width="1.6640625" customWidth="1"/>
    <col min="2" max="2" width="3" customWidth="1"/>
    <col min="3" max="3" width="2.5" customWidth="1"/>
    <col min="4" max="4" width="7.5" customWidth="1"/>
    <col min="5" max="5" width="24.83203125" customWidth="1"/>
    <col min="6" max="6" width="15" customWidth="1"/>
    <col min="7" max="7" width="10.5" customWidth="1"/>
    <col min="8" max="8" width="8.33203125" customWidth="1"/>
    <col min="9" max="9" width="10.83203125" hidden="1" customWidth="1"/>
    <col min="10" max="10" width="8.33203125" style="39" customWidth="1"/>
    <col min="11" max="11" width="8.6640625" customWidth="1"/>
    <col min="12" max="12" width="2.6640625" customWidth="1"/>
  </cols>
  <sheetData>
    <row r="1" spans="1:13" ht="15" customHeight="1" x14ac:dyDescent="0.2">
      <c r="H1" s="110" t="s">
        <v>278</v>
      </c>
      <c r="I1" s="110"/>
      <c r="J1" s="110"/>
      <c r="K1" s="110"/>
    </row>
    <row r="2" spans="1:13" ht="6" customHeight="1" x14ac:dyDescent="0.2"/>
    <row r="3" spans="1:13" ht="45" customHeight="1" x14ac:dyDescent="0.2">
      <c r="A3" s="109" t="s">
        <v>10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</row>
    <row r="4" spans="1:13" ht="7" customHeight="1" x14ac:dyDescent="0.2">
      <c r="B4" s="23"/>
      <c r="C4" s="23"/>
      <c r="D4" s="22"/>
      <c r="E4" s="22"/>
      <c r="F4" s="22"/>
      <c r="G4" s="22"/>
      <c r="H4" s="22"/>
      <c r="I4" s="22"/>
      <c r="J4" s="23"/>
    </row>
    <row r="5" spans="1:13" x14ac:dyDescent="0.2">
      <c r="B5" s="111" t="s">
        <v>229</v>
      </c>
      <c r="C5" s="111"/>
      <c r="D5" s="111"/>
      <c r="E5" s="113"/>
      <c r="F5" s="113"/>
      <c r="G5" s="1" t="s">
        <v>230</v>
      </c>
      <c r="H5" s="121"/>
      <c r="I5" s="121"/>
      <c r="J5" s="121"/>
    </row>
    <row r="6" spans="1:13" x14ac:dyDescent="0.2">
      <c r="B6" s="112" t="s">
        <v>228</v>
      </c>
      <c r="C6" s="112"/>
      <c r="D6" s="112"/>
      <c r="E6" s="25"/>
      <c r="F6" s="25"/>
      <c r="G6" s="30" t="s">
        <v>231</v>
      </c>
      <c r="H6" s="24"/>
      <c r="I6" s="26"/>
      <c r="J6" s="21"/>
    </row>
    <row r="7" spans="1:13" ht="7" customHeight="1" x14ac:dyDescent="0.2">
      <c r="B7" s="21"/>
      <c r="C7" s="21"/>
      <c r="D7" s="21"/>
      <c r="E7" s="21"/>
      <c r="F7" s="21"/>
      <c r="G7" s="24"/>
      <c r="H7" s="24"/>
      <c r="I7" s="24"/>
      <c r="J7" s="21"/>
    </row>
    <row r="8" spans="1:13" x14ac:dyDescent="0.2">
      <c r="B8" s="111" t="s">
        <v>239</v>
      </c>
      <c r="C8" s="111"/>
      <c r="D8" s="111"/>
      <c r="E8" s="37"/>
      <c r="F8" s="38"/>
      <c r="G8" s="33" t="s">
        <v>241</v>
      </c>
      <c r="H8" s="122"/>
      <c r="I8" s="122"/>
      <c r="J8" s="122"/>
    </row>
    <row r="9" spans="1:13" x14ac:dyDescent="0.2">
      <c r="B9" s="116" t="s">
        <v>240</v>
      </c>
      <c r="C9" s="116"/>
      <c r="D9" s="116"/>
      <c r="E9" s="21"/>
      <c r="F9" s="21"/>
      <c r="G9" s="30" t="s">
        <v>242</v>
      </c>
      <c r="H9" s="24"/>
      <c r="I9" s="24"/>
      <c r="J9" s="21"/>
    </row>
    <row r="10" spans="1:13" ht="7" customHeight="1" x14ac:dyDescent="0.2">
      <c r="B10" s="29"/>
      <c r="C10" s="29"/>
      <c r="D10" s="29"/>
      <c r="E10" s="21"/>
      <c r="F10" s="21"/>
      <c r="G10" s="30"/>
      <c r="H10" s="24"/>
      <c r="I10" s="24"/>
      <c r="J10" s="21"/>
    </row>
    <row r="11" spans="1:13" x14ac:dyDescent="0.2">
      <c r="B11" s="116" t="s">
        <v>243</v>
      </c>
      <c r="C11" s="116"/>
      <c r="D11" s="116"/>
      <c r="E11" s="37"/>
      <c r="F11" s="40" t="s">
        <v>251</v>
      </c>
      <c r="G11" s="83"/>
      <c r="H11" s="82"/>
      <c r="I11" s="82"/>
      <c r="J11" s="82"/>
    </row>
    <row r="12" spans="1:13" x14ac:dyDescent="0.2">
      <c r="B12" s="123" t="s">
        <v>244</v>
      </c>
      <c r="C12" s="123"/>
      <c r="D12" s="123"/>
      <c r="F12" s="21"/>
      <c r="G12" s="24"/>
      <c r="H12" s="24"/>
      <c r="I12" s="24"/>
      <c r="J12" s="21"/>
    </row>
    <row r="13" spans="1:13" x14ac:dyDescent="0.2">
      <c r="B13" s="21"/>
      <c r="C13" s="21"/>
      <c r="D13" s="34"/>
      <c r="E13" s="21"/>
      <c r="F13" s="21"/>
      <c r="G13" s="24"/>
      <c r="H13" s="24"/>
      <c r="I13" s="24"/>
      <c r="J13" s="21"/>
    </row>
    <row r="14" spans="1:13" x14ac:dyDescent="0.2">
      <c r="B14" s="117" t="s">
        <v>249</v>
      </c>
      <c r="C14" s="117"/>
      <c r="D14" s="117"/>
      <c r="E14" s="35" t="s">
        <v>250</v>
      </c>
      <c r="F14" s="35"/>
      <c r="G14" s="24"/>
      <c r="H14" s="24"/>
      <c r="I14" s="24"/>
      <c r="J14" s="21"/>
      <c r="M14" s="69"/>
    </row>
    <row r="15" spans="1:13" x14ac:dyDescent="0.2">
      <c r="B15" s="21"/>
      <c r="C15" s="21"/>
      <c r="D15" s="30" t="s">
        <v>252</v>
      </c>
      <c r="E15" s="70" t="s">
        <v>254</v>
      </c>
      <c r="F15" s="36"/>
      <c r="G15" s="24"/>
      <c r="H15" s="24"/>
      <c r="I15" s="24"/>
      <c r="J15" s="21"/>
      <c r="K15" s="69"/>
    </row>
    <row r="16" spans="1:13" x14ac:dyDescent="0.2">
      <c r="B16" s="21"/>
      <c r="C16" s="21"/>
      <c r="D16" s="21"/>
      <c r="E16" s="21"/>
      <c r="F16" s="21"/>
      <c r="G16" s="24"/>
      <c r="H16" s="24"/>
      <c r="I16" s="24"/>
      <c r="J16" s="21"/>
    </row>
    <row r="17" spans="2:11" x14ac:dyDescent="0.2">
      <c r="B17" s="118" t="s">
        <v>235</v>
      </c>
      <c r="C17" s="118"/>
      <c r="D17" s="118"/>
      <c r="E17" s="118"/>
      <c r="F17" s="118"/>
      <c r="G17" s="118"/>
      <c r="H17" s="118"/>
      <c r="I17" s="118"/>
      <c r="J17" s="118"/>
      <c r="K17" s="118"/>
    </row>
    <row r="18" spans="2:11" ht="17" thickBot="1" x14ac:dyDescent="0.25">
      <c r="B18" s="94" t="s">
        <v>236</v>
      </c>
      <c r="C18" s="94"/>
      <c r="D18" s="94"/>
      <c r="E18" s="94"/>
      <c r="F18" s="94"/>
      <c r="G18" s="94"/>
      <c r="H18" s="94"/>
      <c r="I18" s="94"/>
      <c r="J18" s="94"/>
      <c r="K18" s="94"/>
    </row>
    <row r="19" spans="2:11" ht="25" thickBot="1" x14ac:dyDescent="0.25">
      <c r="B19" s="75" t="s">
        <v>3</v>
      </c>
      <c r="C19" s="75"/>
      <c r="D19" s="114" t="s">
        <v>232</v>
      </c>
      <c r="E19" s="114"/>
      <c r="F19" s="114"/>
      <c r="G19" s="115"/>
      <c r="H19" s="75" t="s">
        <v>17</v>
      </c>
      <c r="I19" s="76"/>
      <c r="J19" s="75" t="s">
        <v>18</v>
      </c>
      <c r="K19" s="78" t="s">
        <v>277</v>
      </c>
    </row>
    <row r="20" spans="2:11" x14ac:dyDescent="0.2">
      <c r="B20" s="95">
        <v>1</v>
      </c>
      <c r="C20" s="28" t="s">
        <v>233</v>
      </c>
      <c r="D20" s="107" t="s">
        <v>19</v>
      </c>
      <c r="E20" s="107"/>
      <c r="F20" s="107"/>
      <c r="G20" s="107"/>
      <c r="H20" s="89"/>
      <c r="I20" s="120">
        <f>IF(H20="ü",1,0)</f>
        <v>0</v>
      </c>
      <c r="J20" s="89"/>
      <c r="K20" s="89"/>
    </row>
    <row r="21" spans="2:11" ht="17" thickBot="1" x14ac:dyDescent="0.25">
      <c r="B21" s="96"/>
      <c r="C21" s="27" t="s">
        <v>234</v>
      </c>
      <c r="D21" s="108" t="s">
        <v>20</v>
      </c>
      <c r="E21" s="108"/>
      <c r="F21" s="108"/>
      <c r="G21" s="108"/>
      <c r="H21" s="90"/>
      <c r="I21" s="101"/>
      <c r="J21" s="90"/>
      <c r="K21" s="90"/>
    </row>
    <row r="22" spans="2:11" x14ac:dyDescent="0.2">
      <c r="B22" s="95">
        <v>2</v>
      </c>
      <c r="C22" s="28" t="s">
        <v>233</v>
      </c>
      <c r="D22" s="119" t="s">
        <v>21</v>
      </c>
      <c r="E22" s="119"/>
      <c r="F22" s="119"/>
      <c r="G22" s="119"/>
      <c r="H22" s="89"/>
      <c r="I22" s="120">
        <f t="shared" ref="I22" si="0">IF(H22="ü",1,0)</f>
        <v>0</v>
      </c>
      <c r="J22" s="89"/>
      <c r="K22" s="89"/>
    </row>
    <row r="23" spans="2:11" ht="17" thickBot="1" x14ac:dyDescent="0.25">
      <c r="B23" s="96"/>
      <c r="C23" s="27" t="s">
        <v>234</v>
      </c>
      <c r="D23" s="104" t="s">
        <v>22</v>
      </c>
      <c r="E23" s="105"/>
      <c r="F23" s="105"/>
      <c r="G23" s="106"/>
      <c r="H23" s="90"/>
      <c r="I23" s="101"/>
      <c r="J23" s="90"/>
      <c r="K23" s="90"/>
    </row>
    <row r="24" spans="2:11" x14ac:dyDescent="0.2">
      <c r="B24" s="95">
        <v>3</v>
      </c>
      <c r="C24" s="28" t="s">
        <v>233</v>
      </c>
      <c r="D24" s="97" t="s">
        <v>23</v>
      </c>
      <c r="E24" s="97"/>
      <c r="F24" s="97"/>
      <c r="G24" s="97"/>
      <c r="H24" s="89"/>
      <c r="I24" s="120">
        <f t="shared" ref="I24" si="1">IF(H24="ü",1,0)</f>
        <v>0</v>
      </c>
      <c r="J24" s="89"/>
      <c r="K24" s="89"/>
    </row>
    <row r="25" spans="2:11" ht="17" thickBot="1" x14ac:dyDescent="0.25">
      <c r="B25" s="96"/>
      <c r="C25" s="27" t="s">
        <v>234</v>
      </c>
      <c r="D25" s="94" t="s">
        <v>24</v>
      </c>
      <c r="E25" s="94"/>
      <c r="F25" s="94"/>
      <c r="G25" s="94"/>
      <c r="H25" s="90"/>
      <c r="I25" s="101"/>
      <c r="J25" s="90"/>
      <c r="K25" s="90"/>
    </row>
    <row r="26" spans="2:11" x14ac:dyDescent="0.2">
      <c r="B26" s="95">
        <v>4</v>
      </c>
      <c r="C26" s="28" t="s">
        <v>233</v>
      </c>
      <c r="D26" s="97" t="s">
        <v>25</v>
      </c>
      <c r="E26" s="97"/>
      <c r="F26" s="97"/>
      <c r="G26" s="97"/>
      <c r="H26" s="89"/>
      <c r="I26" s="120">
        <f t="shared" ref="I26" si="2">IF(H26="ü",1,0)</f>
        <v>0</v>
      </c>
      <c r="J26" s="89"/>
      <c r="K26" s="89"/>
    </row>
    <row r="27" spans="2:11" ht="17" thickBot="1" x14ac:dyDescent="0.25">
      <c r="B27" s="96"/>
      <c r="C27" s="27" t="s">
        <v>234</v>
      </c>
      <c r="D27" s="94" t="s">
        <v>26</v>
      </c>
      <c r="E27" s="94"/>
      <c r="F27" s="94"/>
      <c r="G27" s="94"/>
      <c r="H27" s="90"/>
      <c r="I27" s="101"/>
      <c r="J27" s="90"/>
      <c r="K27" s="90"/>
    </row>
    <row r="28" spans="2:11" x14ac:dyDescent="0.2">
      <c r="B28" s="95">
        <v>5</v>
      </c>
      <c r="C28" s="28" t="s">
        <v>233</v>
      </c>
      <c r="D28" s="97" t="s">
        <v>27</v>
      </c>
      <c r="E28" s="97"/>
      <c r="F28" s="97"/>
      <c r="G28" s="97"/>
      <c r="H28" s="89"/>
      <c r="I28" s="120">
        <f t="shared" ref="I28" si="3">IF(H28="ü",1,0)</f>
        <v>0</v>
      </c>
      <c r="J28" s="89"/>
      <c r="K28" s="89"/>
    </row>
    <row r="29" spans="2:11" ht="17" thickBot="1" x14ac:dyDescent="0.25">
      <c r="B29" s="96"/>
      <c r="C29" s="27" t="s">
        <v>234</v>
      </c>
      <c r="D29" s="94" t="s">
        <v>28</v>
      </c>
      <c r="E29" s="94"/>
      <c r="F29" s="94"/>
      <c r="G29" s="94"/>
      <c r="H29" s="90"/>
      <c r="I29" s="101"/>
      <c r="J29" s="90"/>
      <c r="K29" s="90"/>
    </row>
    <row r="30" spans="2:11" x14ac:dyDescent="0.2">
      <c r="B30" s="95">
        <v>6</v>
      </c>
      <c r="C30" s="28" t="s">
        <v>233</v>
      </c>
      <c r="D30" s="97" t="s">
        <v>29</v>
      </c>
      <c r="E30" s="97"/>
      <c r="F30" s="97"/>
      <c r="G30" s="97"/>
      <c r="H30" s="89"/>
      <c r="I30" s="120">
        <f t="shared" ref="I30" si="4">IF(H30="ü",1,0)</f>
        <v>0</v>
      </c>
      <c r="J30" s="89"/>
      <c r="K30" s="89"/>
    </row>
    <row r="31" spans="2:11" ht="17" thickBot="1" x14ac:dyDescent="0.25">
      <c r="B31" s="96"/>
      <c r="C31" s="27" t="s">
        <v>234</v>
      </c>
      <c r="D31" s="94" t="s">
        <v>30</v>
      </c>
      <c r="E31" s="94"/>
      <c r="F31" s="94"/>
      <c r="G31" s="94"/>
      <c r="H31" s="90"/>
      <c r="I31" s="101"/>
      <c r="J31" s="90"/>
      <c r="K31" s="90"/>
    </row>
    <row r="32" spans="2:11" x14ac:dyDescent="0.2">
      <c r="B32" s="95">
        <v>7</v>
      </c>
      <c r="C32" s="28" t="s">
        <v>233</v>
      </c>
      <c r="D32" s="97" t="s">
        <v>31</v>
      </c>
      <c r="E32" s="97"/>
      <c r="F32" s="97"/>
      <c r="G32" s="97"/>
      <c r="H32" s="89"/>
      <c r="I32" s="120">
        <f t="shared" ref="I32" si="5">IF(H32="ü",1,0)</f>
        <v>0</v>
      </c>
      <c r="J32" s="89"/>
      <c r="K32" s="89"/>
    </row>
    <row r="33" spans="2:11" ht="17" thickBot="1" x14ac:dyDescent="0.25">
      <c r="B33" s="96"/>
      <c r="C33" s="27" t="s">
        <v>234</v>
      </c>
      <c r="D33" s="94" t="s">
        <v>32</v>
      </c>
      <c r="E33" s="94"/>
      <c r="F33" s="94"/>
      <c r="G33" s="94"/>
      <c r="H33" s="90"/>
      <c r="I33" s="101"/>
      <c r="J33" s="90"/>
      <c r="K33" s="90"/>
    </row>
    <row r="34" spans="2:11" x14ac:dyDescent="0.2">
      <c r="B34" s="95">
        <v>8</v>
      </c>
      <c r="C34" s="28" t="s">
        <v>233</v>
      </c>
      <c r="D34" s="97" t="s">
        <v>33</v>
      </c>
      <c r="E34" s="97"/>
      <c r="F34" s="97"/>
      <c r="G34" s="97"/>
      <c r="H34" s="89"/>
      <c r="I34" s="120">
        <f t="shared" ref="I34" si="6">IF(H34="ü",1,0)</f>
        <v>0</v>
      </c>
      <c r="J34" s="89"/>
      <c r="K34" s="89"/>
    </row>
    <row r="35" spans="2:11" ht="17" thickBot="1" x14ac:dyDescent="0.25">
      <c r="B35" s="96"/>
      <c r="C35" s="27" t="s">
        <v>234</v>
      </c>
      <c r="D35" s="94" t="s">
        <v>34</v>
      </c>
      <c r="E35" s="94"/>
      <c r="F35" s="94"/>
      <c r="G35" s="94"/>
      <c r="H35" s="90"/>
      <c r="I35" s="101"/>
      <c r="J35" s="90"/>
      <c r="K35" s="90"/>
    </row>
    <row r="36" spans="2:11" x14ac:dyDescent="0.2">
      <c r="B36" s="95">
        <v>9</v>
      </c>
      <c r="C36" s="28" t="s">
        <v>233</v>
      </c>
      <c r="D36" s="97" t="s">
        <v>35</v>
      </c>
      <c r="E36" s="97"/>
      <c r="F36" s="97"/>
      <c r="G36" s="97"/>
      <c r="H36" s="89"/>
      <c r="I36" s="120">
        <f t="shared" ref="I36" si="7">IF(H36="ü",1,0)</f>
        <v>0</v>
      </c>
      <c r="J36" s="89"/>
      <c r="K36" s="89"/>
    </row>
    <row r="37" spans="2:11" ht="17" thickBot="1" x14ac:dyDescent="0.25">
      <c r="B37" s="96"/>
      <c r="C37" s="27" t="s">
        <v>234</v>
      </c>
      <c r="D37" s="94" t="s">
        <v>36</v>
      </c>
      <c r="E37" s="94"/>
      <c r="F37" s="94"/>
      <c r="G37" s="94"/>
      <c r="H37" s="90"/>
      <c r="I37" s="101"/>
      <c r="J37" s="90"/>
      <c r="K37" s="90"/>
    </row>
    <row r="38" spans="2:11" x14ac:dyDescent="0.2">
      <c r="B38" s="95">
        <v>10</v>
      </c>
      <c r="C38" s="28" t="s">
        <v>233</v>
      </c>
      <c r="D38" s="97" t="s">
        <v>37</v>
      </c>
      <c r="E38" s="97"/>
      <c r="F38" s="97"/>
      <c r="G38" s="97"/>
      <c r="H38" s="89"/>
      <c r="I38" s="120">
        <f t="shared" ref="I38" si="8">IF(H38="ü",1,0)</f>
        <v>0</v>
      </c>
      <c r="J38" s="89"/>
      <c r="K38" s="89"/>
    </row>
    <row r="39" spans="2:11" ht="17" thickBot="1" x14ac:dyDescent="0.25">
      <c r="B39" s="96"/>
      <c r="C39" s="27" t="s">
        <v>234</v>
      </c>
      <c r="D39" s="94" t="s">
        <v>38</v>
      </c>
      <c r="E39" s="94"/>
      <c r="F39" s="94"/>
      <c r="G39" s="94"/>
      <c r="H39" s="90"/>
      <c r="I39" s="101"/>
      <c r="J39" s="90"/>
      <c r="K39" s="90"/>
    </row>
    <row r="40" spans="2:11" x14ac:dyDescent="0.2">
      <c r="B40" s="95">
        <v>11</v>
      </c>
      <c r="C40" s="28" t="s">
        <v>233</v>
      </c>
      <c r="D40" s="97" t="s">
        <v>39</v>
      </c>
      <c r="E40" s="97"/>
      <c r="F40" s="97"/>
      <c r="G40" s="97"/>
      <c r="H40" s="89"/>
      <c r="I40" s="120">
        <f t="shared" ref="I40" si="9">IF(H40="ü",1,0)</f>
        <v>0</v>
      </c>
      <c r="J40" s="89"/>
      <c r="K40" s="89"/>
    </row>
    <row r="41" spans="2:11" ht="17" thickBot="1" x14ac:dyDescent="0.25">
      <c r="B41" s="96"/>
      <c r="C41" s="27" t="s">
        <v>234</v>
      </c>
      <c r="D41" s="94" t="s">
        <v>40</v>
      </c>
      <c r="E41" s="94"/>
      <c r="F41" s="94"/>
      <c r="G41" s="94"/>
      <c r="H41" s="90"/>
      <c r="I41" s="101"/>
      <c r="J41" s="90"/>
      <c r="K41" s="90"/>
    </row>
    <row r="42" spans="2:11" x14ac:dyDescent="0.2">
      <c r="B42" s="95">
        <v>12</v>
      </c>
      <c r="C42" s="28" t="s">
        <v>233</v>
      </c>
      <c r="D42" s="97" t="s">
        <v>41</v>
      </c>
      <c r="E42" s="97"/>
      <c r="F42" s="97"/>
      <c r="G42" s="97"/>
      <c r="H42" s="89"/>
      <c r="I42" s="120">
        <f t="shared" ref="I42" si="10">IF(H42="ü",1,0)</f>
        <v>0</v>
      </c>
      <c r="J42" s="89"/>
      <c r="K42" s="89"/>
    </row>
    <row r="43" spans="2:11" ht="17" thickBot="1" x14ac:dyDescent="0.25">
      <c r="B43" s="96"/>
      <c r="C43" s="27" t="s">
        <v>234</v>
      </c>
      <c r="D43" s="94" t="s">
        <v>42</v>
      </c>
      <c r="E43" s="94"/>
      <c r="F43" s="94"/>
      <c r="G43" s="94"/>
      <c r="H43" s="90"/>
      <c r="I43" s="101"/>
      <c r="J43" s="90"/>
      <c r="K43" s="90"/>
    </row>
    <row r="44" spans="2:11" s="79" customFormat="1" x14ac:dyDescent="0.2">
      <c r="B44" s="86" t="s">
        <v>279</v>
      </c>
      <c r="C44" s="86"/>
      <c r="D44" s="84" t="s">
        <v>282</v>
      </c>
      <c r="E44" s="81"/>
      <c r="F44" s="81"/>
      <c r="G44" s="87" t="s">
        <v>225</v>
      </c>
      <c r="H44" s="87"/>
      <c r="I44"/>
      <c r="J44" s="88">
        <f ca="1">TODAY()</f>
        <v>46082</v>
      </c>
      <c r="K44" s="88"/>
    </row>
    <row r="45" spans="2:11" ht="12" customHeight="1" x14ac:dyDescent="0.2">
      <c r="C45" s="79"/>
      <c r="D45" s="79"/>
      <c r="E45" s="79"/>
      <c r="F45" s="79"/>
      <c r="G45" s="79"/>
      <c r="H45" s="79"/>
      <c r="I45" s="79"/>
      <c r="J45" s="79"/>
      <c r="K45" s="85" t="s">
        <v>283</v>
      </c>
    </row>
    <row r="46" spans="2:11" x14ac:dyDescent="0.2">
      <c r="H46" s="91" t="s">
        <v>278</v>
      </c>
      <c r="I46" s="91"/>
      <c r="J46" s="91"/>
      <c r="K46" s="91"/>
    </row>
    <row r="48" spans="2:11" ht="17" thickBot="1" x14ac:dyDescent="0.25">
      <c r="B48" s="41"/>
      <c r="C48" s="41"/>
      <c r="D48" s="41"/>
      <c r="E48" s="41"/>
      <c r="F48" s="41"/>
      <c r="G48" s="41"/>
      <c r="H48" s="41"/>
      <c r="I48" s="41"/>
      <c r="J48" s="42"/>
      <c r="K48" s="41"/>
    </row>
    <row r="49" spans="2:11" x14ac:dyDescent="0.2">
      <c r="B49" s="93" t="s">
        <v>43</v>
      </c>
      <c r="C49" s="93"/>
      <c r="D49" s="93"/>
      <c r="E49" s="93"/>
      <c r="F49" s="93"/>
      <c r="G49" s="93"/>
      <c r="H49" s="93"/>
      <c r="I49" s="93"/>
      <c r="J49" s="93"/>
      <c r="K49" s="93"/>
    </row>
    <row r="50" spans="2:11" ht="17" thickBot="1" x14ac:dyDescent="0.25">
      <c r="B50" s="94" t="s">
        <v>44</v>
      </c>
      <c r="C50" s="94"/>
      <c r="D50" s="94"/>
      <c r="E50" s="94"/>
      <c r="F50" s="94"/>
      <c r="G50" s="94"/>
      <c r="H50" s="94"/>
      <c r="I50" s="94"/>
      <c r="J50" s="94"/>
      <c r="K50" s="94"/>
    </row>
    <row r="51" spans="2:11" ht="25" thickBot="1" x14ac:dyDescent="0.25">
      <c r="B51" s="75" t="s">
        <v>3</v>
      </c>
      <c r="C51" s="75"/>
      <c r="D51" s="114" t="s">
        <v>232</v>
      </c>
      <c r="E51" s="114"/>
      <c r="F51" s="114"/>
      <c r="G51" s="115"/>
      <c r="H51" s="75" t="s">
        <v>17</v>
      </c>
      <c r="I51" s="76"/>
      <c r="J51" s="77" t="s">
        <v>18</v>
      </c>
      <c r="K51" s="78" t="s">
        <v>277</v>
      </c>
    </row>
    <row r="52" spans="2:11" x14ac:dyDescent="0.2">
      <c r="B52" s="95">
        <v>1</v>
      </c>
      <c r="C52" s="28" t="s">
        <v>233</v>
      </c>
      <c r="D52" s="107" t="s">
        <v>45</v>
      </c>
      <c r="E52" s="107"/>
      <c r="F52" s="107"/>
      <c r="G52" s="107"/>
      <c r="H52" s="98"/>
      <c r="I52" s="100">
        <f>IF(H52="ü",1,0)</f>
        <v>0</v>
      </c>
      <c r="J52" s="102"/>
      <c r="K52" s="89"/>
    </row>
    <row r="53" spans="2:11" ht="17" thickBot="1" x14ac:dyDescent="0.25">
      <c r="B53" s="96"/>
      <c r="C53" s="27" t="s">
        <v>234</v>
      </c>
      <c r="D53" s="108" t="s">
        <v>46</v>
      </c>
      <c r="E53" s="108"/>
      <c r="F53" s="108"/>
      <c r="G53" s="108"/>
      <c r="H53" s="99"/>
      <c r="I53" s="101"/>
      <c r="J53" s="103"/>
      <c r="K53" s="90"/>
    </row>
    <row r="54" spans="2:11" x14ac:dyDescent="0.2">
      <c r="B54" s="95">
        <v>2</v>
      </c>
      <c r="C54" s="28" t="s">
        <v>233</v>
      </c>
      <c r="D54" s="97" t="s">
        <v>47</v>
      </c>
      <c r="E54" s="97"/>
      <c r="F54" s="97"/>
      <c r="G54" s="97"/>
      <c r="H54" s="98"/>
      <c r="I54" s="100">
        <f t="shared" ref="I54" si="11">IF(H54="ü",1,0)</f>
        <v>0</v>
      </c>
      <c r="J54" s="102"/>
      <c r="K54" s="89"/>
    </row>
    <row r="55" spans="2:11" ht="17" thickBot="1" x14ac:dyDescent="0.25">
      <c r="B55" s="96"/>
      <c r="C55" s="27" t="s">
        <v>234</v>
      </c>
      <c r="D55" s="104" t="s">
        <v>48</v>
      </c>
      <c r="E55" s="105"/>
      <c r="F55" s="105"/>
      <c r="G55" s="106"/>
      <c r="H55" s="99"/>
      <c r="I55" s="101"/>
      <c r="J55" s="103"/>
      <c r="K55" s="90"/>
    </row>
    <row r="56" spans="2:11" x14ac:dyDescent="0.2">
      <c r="B56" s="95">
        <v>3</v>
      </c>
      <c r="C56" s="28" t="s">
        <v>233</v>
      </c>
      <c r="D56" s="97" t="s">
        <v>49</v>
      </c>
      <c r="E56" s="97"/>
      <c r="F56" s="97"/>
      <c r="G56" s="97"/>
      <c r="H56" s="98"/>
      <c r="I56" s="100">
        <f t="shared" ref="I56" si="12">IF(H56="ü",1,0)</f>
        <v>0</v>
      </c>
      <c r="J56" s="102"/>
      <c r="K56" s="89"/>
    </row>
    <row r="57" spans="2:11" ht="17" thickBot="1" x14ac:dyDescent="0.25">
      <c r="B57" s="96"/>
      <c r="C57" s="27" t="s">
        <v>234</v>
      </c>
      <c r="D57" s="94" t="s">
        <v>50</v>
      </c>
      <c r="E57" s="94"/>
      <c r="F57" s="94"/>
      <c r="G57" s="94"/>
      <c r="H57" s="99"/>
      <c r="I57" s="101"/>
      <c r="J57" s="103"/>
      <c r="K57" s="90"/>
    </row>
    <row r="58" spans="2:11" x14ac:dyDescent="0.2">
      <c r="B58" s="95">
        <v>4</v>
      </c>
      <c r="C58" s="28" t="s">
        <v>233</v>
      </c>
      <c r="D58" s="97" t="s">
        <v>51</v>
      </c>
      <c r="E58" s="97"/>
      <c r="F58" s="97"/>
      <c r="G58" s="97"/>
      <c r="H58" s="98"/>
      <c r="I58" s="100">
        <f t="shared" ref="I58" si="13">IF(H58="ü",1,0)</f>
        <v>0</v>
      </c>
      <c r="J58" s="102"/>
      <c r="K58" s="89"/>
    </row>
    <row r="59" spans="2:11" ht="17" thickBot="1" x14ac:dyDescent="0.25">
      <c r="B59" s="96"/>
      <c r="C59" s="27" t="s">
        <v>234</v>
      </c>
      <c r="D59" s="94" t="s">
        <v>52</v>
      </c>
      <c r="E59" s="94"/>
      <c r="F59" s="94"/>
      <c r="G59" s="94"/>
      <c r="H59" s="99"/>
      <c r="I59" s="101"/>
      <c r="J59" s="103"/>
      <c r="K59" s="90"/>
    </row>
    <row r="60" spans="2:11" x14ac:dyDescent="0.2">
      <c r="B60" s="95">
        <v>5</v>
      </c>
      <c r="C60" s="28" t="s">
        <v>233</v>
      </c>
      <c r="D60" s="97" t="s">
        <v>53</v>
      </c>
      <c r="E60" s="97"/>
      <c r="F60" s="97"/>
      <c r="G60" s="97"/>
      <c r="H60" s="98"/>
      <c r="I60" s="100">
        <f t="shared" ref="I60" si="14">IF(H60="ü",1,0)</f>
        <v>0</v>
      </c>
      <c r="J60" s="102"/>
      <c r="K60" s="89"/>
    </row>
    <row r="61" spans="2:11" ht="17" thickBot="1" x14ac:dyDescent="0.25">
      <c r="B61" s="96"/>
      <c r="C61" s="27" t="s">
        <v>234</v>
      </c>
      <c r="D61" s="94" t="s">
        <v>54</v>
      </c>
      <c r="E61" s="94"/>
      <c r="F61" s="94"/>
      <c r="G61" s="94"/>
      <c r="H61" s="99"/>
      <c r="I61" s="101"/>
      <c r="J61" s="103"/>
      <c r="K61" s="90"/>
    </row>
    <row r="62" spans="2:11" x14ac:dyDescent="0.2">
      <c r="B62" s="95">
        <v>6</v>
      </c>
      <c r="C62" s="28" t="s">
        <v>233</v>
      </c>
      <c r="D62" s="97" t="s">
        <v>55</v>
      </c>
      <c r="E62" s="97"/>
      <c r="F62" s="97"/>
      <c r="G62" s="97"/>
      <c r="H62" s="98"/>
      <c r="I62" s="100">
        <f t="shared" ref="I62" si="15">IF(H62="ü",1,0)</f>
        <v>0</v>
      </c>
      <c r="J62" s="102"/>
      <c r="K62" s="89"/>
    </row>
    <row r="63" spans="2:11" ht="17" thickBot="1" x14ac:dyDescent="0.25">
      <c r="B63" s="96"/>
      <c r="C63" s="27" t="s">
        <v>234</v>
      </c>
      <c r="D63" s="94" t="s">
        <v>56</v>
      </c>
      <c r="E63" s="94"/>
      <c r="F63" s="94"/>
      <c r="G63" s="94"/>
      <c r="H63" s="99"/>
      <c r="I63" s="101"/>
      <c r="J63" s="103"/>
      <c r="K63" s="90"/>
    </row>
    <row r="64" spans="2:11" x14ac:dyDescent="0.2">
      <c r="B64" s="95">
        <v>7</v>
      </c>
      <c r="C64" s="28" t="s">
        <v>233</v>
      </c>
      <c r="D64" s="97" t="s">
        <v>57</v>
      </c>
      <c r="E64" s="97"/>
      <c r="F64" s="97"/>
      <c r="G64" s="97"/>
      <c r="H64" s="98"/>
      <c r="I64" s="100">
        <f t="shared" ref="I64" si="16">IF(H64="ü",1,0)</f>
        <v>0</v>
      </c>
      <c r="J64" s="102"/>
      <c r="K64" s="89"/>
    </row>
    <row r="65" spans="2:11" ht="17" thickBot="1" x14ac:dyDescent="0.25">
      <c r="B65" s="96"/>
      <c r="C65" s="27" t="s">
        <v>234</v>
      </c>
      <c r="D65" s="94" t="s">
        <v>58</v>
      </c>
      <c r="E65" s="94"/>
      <c r="F65" s="94"/>
      <c r="G65" s="94"/>
      <c r="H65" s="99"/>
      <c r="I65" s="101"/>
      <c r="J65" s="103"/>
      <c r="K65" s="90"/>
    </row>
    <row r="66" spans="2:11" x14ac:dyDescent="0.2">
      <c r="B66" s="95">
        <v>8</v>
      </c>
      <c r="C66" s="28" t="s">
        <v>233</v>
      </c>
      <c r="D66" s="97" t="s">
        <v>59</v>
      </c>
      <c r="E66" s="97"/>
      <c r="F66" s="97"/>
      <c r="G66" s="97"/>
      <c r="H66" s="98"/>
      <c r="I66" s="100">
        <f t="shared" ref="I66" si="17">IF(H66="ü",1,0)</f>
        <v>0</v>
      </c>
      <c r="J66" s="102"/>
      <c r="K66" s="89"/>
    </row>
    <row r="67" spans="2:11" ht="17" thickBot="1" x14ac:dyDescent="0.25">
      <c r="B67" s="96"/>
      <c r="C67" s="27" t="s">
        <v>234</v>
      </c>
      <c r="D67" s="94" t="s">
        <v>60</v>
      </c>
      <c r="E67" s="94"/>
      <c r="F67" s="94"/>
      <c r="G67" s="94"/>
      <c r="H67" s="99"/>
      <c r="I67" s="101"/>
      <c r="J67" s="103"/>
      <c r="K67" s="90"/>
    </row>
    <row r="68" spans="2:11" x14ac:dyDescent="0.2">
      <c r="B68" s="95">
        <v>9</v>
      </c>
      <c r="C68" s="28" t="s">
        <v>233</v>
      </c>
      <c r="D68" s="97" t="s">
        <v>61</v>
      </c>
      <c r="E68" s="97"/>
      <c r="F68" s="97"/>
      <c r="G68" s="97"/>
      <c r="H68" s="98"/>
      <c r="I68" s="100">
        <f t="shared" ref="I68" si="18">IF(H68="ü",1,0)</f>
        <v>0</v>
      </c>
      <c r="J68" s="102"/>
      <c r="K68" s="89"/>
    </row>
    <row r="69" spans="2:11" ht="17" thickBot="1" x14ac:dyDescent="0.25">
      <c r="B69" s="96"/>
      <c r="C69" s="27" t="s">
        <v>234</v>
      </c>
      <c r="D69" s="94" t="s">
        <v>62</v>
      </c>
      <c r="E69" s="94"/>
      <c r="F69" s="94"/>
      <c r="G69" s="94"/>
      <c r="H69" s="99"/>
      <c r="I69" s="101"/>
      <c r="J69" s="103"/>
      <c r="K69" s="90"/>
    </row>
    <row r="70" spans="2:11" x14ac:dyDescent="0.2">
      <c r="B70" s="95">
        <v>10</v>
      </c>
      <c r="C70" s="28" t="s">
        <v>233</v>
      </c>
      <c r="D70" s="97" t="s">
        <v>63</v>
      </c>
      <c r="E70" s="97"/>
      <c r="F70" s="97"/>
      <c r="G70" s="97"/>
      <c r="H70" s="98"/>
      <c r="I70" s="100">
        <f t="shared" ref="I70" si="19">IF(H70="ü",1,0)</f>
        <v>0</v>
      </c>
      <c r="J70" s="102"/>
      <c r="K70" s="89"/>
    </row>
    <row r="71" spans="2:11" ht="17" thickBot="1" x14ac:dyDescent="0.25">
      <c r="B71" s="96"/>
      <c r="C71" s="27" t="s">
        <v>234</v>
      </c>
      <c r="D71" s="94" t="s">
        <v>64</v>
      </c>
      <c r="E71" s="94"/>
      <c r="F71" s="94"/>
      <c r="G71" s="94"/>
      <c r="H71" s="99"/>
      <c r="I71" s="101"/>
      <c r="J71" s="103"/>
      <c r="K71" s="90"/>
    </row>
    <row r="72" spans="2:11" x14ac:dyDescent="0.2">
      <c r="B72" s="95">
        <v>11</v>
      </c>
      <c r="C72" s="28" t="s">
        <v>233</v>
      </c>
      <c r="D72" s="97" t="s">
        <v>65</v>
      </c>
      <c r="E72" s="97"/>
      <c r="F72" s="97"/>
      <c r="G72" s="97"/>
      <c r="H72" s="98"/>
      <c r="I72" s="100">
        <f t="shared" ref="I72" si="20">IF(H72="ü",1,0)</f>
        <v>0</v>
      </c>
      <c r="J72" s="102"/>
      <c r="K72" s="89"/>
    </row>
    <row r="73" spans="2:11" ht="17" thickBot="1" x14ac:dyDescent="0.25">
      <c r="B73" s="96"/>
      <c r="C73" s="27" t="s">
        <v>234</v>
      </c>
      <c r="D73" s="94" t="s">
        <v>66</v>
      </c>
      <c r="E73" s="94"/>
      <c r="F73" s="94"/>
      <c r="G73" s="94"/>
      <c r="H73" s="99"/>
      <c r="I73" s="101"/>
      <c r="J73" s="103"/>
      <c r="K73" s="90"/>
    </row>
    <row r="74" spans="2:11" x14ac:dyDescent="0.2">
      <c r="B74" s="95">
        <v>12</v>
      </c>
      <c r="C74" s="28" t="s">
        <v>233</v>
      </c>
      <c r="D74" s="97" t="s">
        <v>67</v>
      </c>
      <c r="E74" s="97"/>
      <c r="F74" s="97"/>
      <c r="G74" s="97"/>
      <c r="H74" s="98"/>
      <c r="I74" s="100">
        <f t="shared" ref="I74" si="21">IF(H74="ü",1,0)</f>
        <v>0</v>
      </c>
      <c r="J74" s="102"/>
      <c r="K74" s="89"/>
    </row>
    <row r="75" spans="2:11" ht="17" thickBot="1" x14ac:dyDescent="0.25">
      <c r="B75" s="96"/>
      <c r="C75" s="27" t="s">
        <v>234</v>
      </c>
      <c r="D75" s="94" t="s">
        <v>68</v>
      </c>
      <c r="E75" s="94"/>
      <c r="F75" s="94"/>
      <c r="G75" s="94"/>
      <c r="H75" s="99"/>
      <c r="I75" s="101"/>
      <c r="J75" s="103"/>
      <c r="K75" s="90"/>
    </row>
    <row r="76" spans="2:11" x14ac:dyDescent="0.2">
      <c r="B76" s="95">
        <v>13</v>
      </c>
      <c r="C76" s="28" t="s">
        <v>233</v>
      </c>
      <c r="D76" s="97" t="s">
        <v>138</v>
      </c>
      <c r="E76" s="97"/>
      <c r="F76" s="97"/>
      <c r="G76" s="97"/>
      <c r="H76" s="98"/>
      <c r="I76" s="100">
        <f t="shared" ref="I76" si="22">IF(H76="ü",1,0)</f>
        <v>0</v>
      </c>
      <c r="J76" s="102"/>
      <c r="K76" s="89"/>
    </row>
    <row r="77" spans="2:11" ht="17" thickBot="1" x14ac:dyDescent="0.25">
      <c r="B77" s="96"/>
      <c r="C77" s="27" t="s">
        <v>234</v>
      </c>
      <c r="D77" s="94" t="s">
        <v>139</v>
      </c>
      <c r="E77" s="94"/>
      <c r="F77" s="94"/>
      <c r="G77" s="94"/>
      <c r="H77" s="99"/>
      <c r="I77" s="101"/>
      <c r="J77" s="103"/>
      <c r="K77" s="90"/>
    </row>
    <row r="78" spans="2:11" x14ac:dyDescent="0.2">
      <c r="B78" s="86" t="s">
        <v>279</v>
      </c>
      <c r="C78" s="86"/>
      <c r="D78" s="84" t="s">
        <v>282</v>
      </c>
      <c r="G78" s="87" t="s">
        <v>225</v>
      </c>
      <c r="H78" s="87"/>
      <c r="J78" s="88">
        <f ca="1">TODAY()</f>
        <v>46082</v>
      </c>
      <c r="K78" s="88"/>
    </row>
    <row r="89" spans="2:11" x14ac:dyDescent="0.2">
      <c r="B89" s="43"/>
      <c r="G89" s="80"/>
      <c r="K89" s="85" t="s">
        <v>287</v>
      </c>
    </row>
    <row r="90" spans="2:11" x14ac:dyDescent="0.2">
      <c r="H90" s="91" t="s">
        <v>278</v>
      </c>
      <c r="I90" s="91"/>
      <c r="J90" s="91"/>
      <c r="K90" s="91"/>
    </row>
    <row r="92" spans="2:11" ht="17" thickBot="1" x14ac:dyDescent="0.25">
      <c r="B92" s="31"/>
      <c r="C92" s="31"/>
      <c r="D92" s="31"/>
      <c r="E92" s="31"/>
      <c r="F92" s="31"/>
      <c r="G92" s="32"/>
      <c r="H92" s="32"/>
      <c r="I92" s="32"/>
      <c r="J92" s="31"/>
      <c r="K92" s="31"/>
    </row>
    <row r="93" spans="2:11" x14ac:dyDescent="0.2">
      <c r="B93" s="93" t="s">
        <v>69</v>
      </c>
      <c r="C93" s="93"/>
      <c r="D93" s="93"/>
      <c r="E93" s="93"/>
      <c r="F93" s="93"/>
      <c r="G93" s="93"/>
      <c r="H93" s="93"/>
      <c r="I93" s="93"/>
      <c r="J93" s="93"/>
      <c r="K93" s="93"/>
    </row>
    <row r="94" spans="2:11" ht="17" thickBot="1" x14ac:dyDescent="0.25">
      <c r="B94" s="94" t="s">
        <v>70</v>
      </c>
      <c r="C94" s="94"/>
      <c r="D94" s="94"/>
      <c r="E94" s="94"/>
      <c r="F94" s="94"/>
      <c r="G94" s="94"/>
      <c r="H94" s="94"/>
      <c r="I94" s="94"/>
      <c r="J94" s="94"/>
      <c r="K94" s="94"/>
    </row>
    <row r="95" spans="2:11" ht="25" thickBot="1" x14ac:dyDescent="0.25">
      <c r="B95" s="75" t="s">
        <v>3</v>
      </c>
      <c r="C95" s="75"/>
      <c r="D95" s="114" t="s">
        <v>232</v>
      </c>
      <c r="E95" s="114"/>
      <c r="F95" s="114"/>
      <c r="G95" s="115"/>
      <c r="H95" s="75" t="s">
        <v>17</v>
      </c>
      <c r="I95" s="76"/>
      <c r="J95" s="77" t="s">
        <v>18</v>
      </c>
      <c r="K95" s="78" t="s">
        <v>277</v>
      </c>
    </row>
    <row r="96" spans="2:11" x14ac:dyDescent="0.2">
      <c r="B96" s="95">
        <v>1</v>
      </c>
      <c r="C96" s="28" t="s">
        <v>233</v>
      </c>
      <c r="D96" s="107" t="s">
        <v>71</v>
      </c>
      <c r="E96" s="107"/>
      <c r="F96" s="107"/>
      <c r="G96" s="107"/>
      <c r="H96" s="98"/>
      <c r="I96" s="100">
        <f t="shared" ref="I96:I118" si="23">IF(H96="ü",1,0)</f>
        <v>0</v>
      </c>
      <c r="J96" s="102"/>
      <c r="K96" s="89"/>
    </row>
    <row r="97" spans="2:11" ht="17" thickBot="1" x14ac:dyDescent="0.25">
      <c r="B97" s="96"/>
      <c r="C97" s="27" t="s">
        <v>234</v>
      </c>
      <c r="D97" s="108" t="s">
        <v>72</v>
      </c>
      <c r="E97" s="108"/>
      <c r="F97" s="108"/>
      <c r="G97" s="108"/>
      <c r="H97" s="99"/>
      <c r="I97" s="101"/>
      <c r="J97" s="103"/>
      <c r="K97" s="90"/>
    </row>
    <row r="98" spans="2:11" x14ac:dyDescent="0.2">
      <c r="B98" s="95">
        <v>2</v>
      </c>
      <c r="C98" s="28" t="s">
        <v>233</v>
      </c>
      <c r="D98" s="97" t="s">
        <v>73</v>
      </c>
      <c r="E98" s="97"/>
      <c r="F98" s="97"/>
      <c r="G98" s="97"/>
      <c r="H98" s="98"/>
      <c r="I98" s="100">
        <f t="shared" si="23"/>
        <v>0</v>
      </c>
      <c r="J98" s="102"/>
      <c r="K98" s="89"/>
    </row>
    <row r="99" spans="2:11" ht="17" thickBot="1" x14ac:dyDescent="0.25">
      <c r="B99" s="96"/>
      <c r="C99" s="27" t="s">
        <v>234</v>
      </c>
      <c r="D99" s="104" t="s">
        <v>74</v>
      </c>
      <c r="E99" s="105"/>
      <c r="F99" s="105"/>
      <c r="G99" s="106"/>
      <c r="H99" s="99"/>
      <c r="I99" s="101"/>
      <c r="J99" s="103"/>
      <c r="K99" s="90"/>
    </row>
    <row r="100" spans="2:11" x14ac:dyDescent="0.2">
      <c r="B100" s="95">
        <v>3</v>
      </c>
      <c r="C100" s="28" t="s">
        <v>233</v>
      </c>
      <c r="D100" s="97" t="s">
        <v>75</v>
      </c>
      <c r="E100" s="97"/>
      <c r="F100" s="97"/>
      <c r="G100" s="97"/>
      <c r="H100" s="98"/>
      <c r="I100" s="100">
        <f t="shared" si="23"/>
        <v>0</v>
      </c>
      <c r="J100" s="102"/>
      <c r="K100" s="89"/>
    </row>
    <row r="101" spans="2:11" ht="17" thickBot="1" x14ac:dyDescent="0.25">
      <c r="B101" s="96"/>
      <c r="C101" s="27" t="s">
        <v>234</v>
      </c>
      <c r="D101" s="94" t="s">
        <v>76</v>
      </c>
      <c r="E101" s="94"/>
      <c r="F101" s="94"/>
      <c r="G101" s="94"/>
      <c r="H101" s="99"/>
      <c r="I101" s="101"/>
      <c r="J101" s="103"/>
      <c r="K101" s="90"/>
    </row>
    <row r="102" spans="2:11" x14ac:dyDescent="0.2">
      <c r="B102" s="95">
        <v>4</v>
      </c>
      <c r="C102" s="28" t="s">
        <v>233</v>
      </c>
      <c r="D102" s="97" t="s">
        <v>77</v>
      </c>
      <c r="E102" s="97"/>
      <c r="F102" s="97"/>
      <c r="G102" s="97"/>
      <c r="H102" s="98"/>
      <c r="I102" s="100">
        <f t="shared" si="23"/>
        <v>0</v>
      </c>
      <c r="J102" s="102"/>
      <c r="K102" s="89"/>
    </row>
    <row r="103" spans="2:11" ht="17" thickBot="1" x14ac:dyDescent="0.25">
      <c r="B103" s="96"/>
      <c r="C103" s="27" t="s">
        <v>234</v>
      </c>
      <c r="D103" s="94" t="s">
        <v>78</v>
      </c>
      <c r="E103" s="94"/>
      <c r="F103" s="94"/>
      <c r="G103" s="94"/>
      <c r="H103" s="99"/>
      <c r="I103" s="101"/>
      <c r="J103" s="103"/>
      <c r="K103" s="90"/>
    </row>
    <row r="104" spans="2:11" x14ac:dyDescent="0.2">
      <c r="B104" s="95">
        <v>5</v>
      </c>
      <c r="C104" s="28" t="s">
        <v>233</v>
      </c>
      <c r="D104" s="97" t="s">
        <v>79</v>
      </c>
      <c r="E104" s="97"/>
      <c r="F104" s="97"/>
      <c r="G104" s="97"/>
      <c r="H104" s="98"/>
      <c r="I104" s="100">
        <f t="shared" si="23"/>
        <v>0</v>
      </c>
      <c r="J104" s="102"/>
      <c r="K104" s="89"/>
    </row>
    <row r="105" spans="2:11" ht="17" thickBot="1" x14ac:dyDescent="0.25">
      <c r="B105" s="96"/>
      <c r="C105" s="27" t="s">
        <v>234</v>
      </c>
      <c r="D105" s="94" t="s">
        <v>80</v>
      </c>
      <c r="E105" s="94"/>
      <c r="F105" s="94"/>
      <c r="G105" s="94"/>
      <c r="H105" s="99"/>
      <c r="I105" s="101"/>
      <c r="J105" s="103"/>
      <c r="K105" s="90"/>
    </row>
    <row r="106" spans="2:11" x14ac:dyDescent="0.2">
      <c r="B106" s="95">
        <v>6</v>
      </c>
      <c r="C106" s="28" t="s">
        <v>233</v>
      </c>
      <c r="D106" s="97" t="s">
        <v>83</v>
      </c>
      <c r="E106" s="97"/>
      <c r="F106" s="97"/>
      <c r="G106" s="97"/>
      <c r="H106" s="98"/>
      <c r="I106" s="100">
        <f t="shared" si="23"/>
        <v>0</v>
      </c>
      <c r="J106" s="102"/>
      <c r="K106" s="89"/>
    </row>
    <row r="107" spans="2:11" ht="17" thickBot="1" x14ac:dyDescent="0.25">
      <c r="B107" s="96"/>
      <c r="C107" s="27" t="s">
        <v>234</v>
      </c>
      <c r="D107" s="94" t="s">
        <v>84</v>
      </c>
      <c r="E107" s="94"/>
      <c r="F107" s="94"/>
      <c r="G107" s="94"/>
      <c r="H107" s="99"/>
      <c r="I107" s="101"/>
      <c r="J107" s="103"/>
      <c r="K107" s="90"/>
    </row>
    <row r="108" spans="2:11" x14ac:dyDescent="0.2">
      <c r="B108" s="95">
        <v>7</v>
      </c>
      <c r="C108" s="28" t="s">
        <v>233</v>
      </c>
      <c r="D108" s="97" t="s">
        <v>85</v>
      </c>
      <c r="E108" s="97"/>
      <c r="F108" s="97"/>
      <c r="G108" s="97"/>
      <c r="H108" s="98"/>
      <c r="I108" s="100">
        <f t="shared" si="23"/>
        <v>0</v>
      </c>
      <c r="J108" s="102"/>
      <c r="K108" s="89"/>
    </row>
    <row r="109" spans="2:11" ht="17" thickBot="1" x14ac:dyDescent="0.25">
      <c r="B109" s="96"/>
      <c r="C109" s="27" t="s">
        <v>234</v>
      </c>
      <c r="D109" s="94" t="s">
        <v>84</v>
      </c>
      <c r="E109" s="94"/>
      <c r="F109" s="94"/>
      <c r="G109" s="94"/>
      <c r="H109" s="99"/>
      <c r="I109" s="101"/>
      <c r="J109" s="103"/>
      <c r="K109" s="90"/>
    </row>
    <row r="110" spans="2:11" x14ac:dyDescent="0.2">
      <c r="B110" s="95">
        <v>8</v>
      </c>
      <c r="C110" s="28" t="s">
        <v>233</v>
      </c>
      <c r="D110" s="97" t="s">
        <v>85</v>
      </c>
      <c r="E110" s="97"/>
      <c r="F110" s="97"/>
      <c r="G110" s="97"/>
      <c r="H110" s="98"/>
      <c r="I110" s="100">
        <f t="shared" si="23"/>
        <v>0</v>
      </c>
      <c r="J110" s="102"/>
      <c r="K110" s="89"/>
    </row>
    <row r="111" spans="2:11" ht="17" thickBot="1" x14ac:dyDescent="0.25">
      <c r="B111" s="96"/>
      <c r="C111" s="27" t="s">
        <v>234</v>
      </c>
      <c r="D111" s="94" t="s">
        <v>86</v>
      </c>
      <c r="E111" s="94"/>
      <c r="F111" s="94"/>
      <c r="G111" s="94"/>
      <c r="H111" s="99"/>
      <c r="I111" s="101"/>
      <c r="J111" s="103"/>
      <c r="K111" s="90"/>
    </row>
    <row r="112" spans="2:11" x14ac:dyDescent="0.2">
      <c r="B112" s="95">
        <v>9</v>
      </c>
      <c r="C112" s="28" t="s">
        <v>233</v>
      </c>
      <c r="D112" s="97" t="s">
        <v>87</v>
      </c>
      <c r="E112" s="97"/>
      <c r="F112" s="97"/>
      <c r="G112" s="97"/>
      <c r="H112" s="98"/>
      <c r="I112" s="100">
        <f t="shared" si="23"/>
        <v>0</v>
      </c>
      <c r="J112" s="102"/>
      <c r="K112" s="89"/>
    </row>
    <row r="113" spans="2:11" ht="17" thickBot="1" x14ac:dyDescent="0.25">
      <c r="B113" s="96"/>
      <c r="C113" s="27" t="s">
        <v>234</v>
      </c>
      <c r="D113" s="94" t="s">
        <v>88</v>
      </c>
      <c r="E113" s="94"/>
      <c r="F113" s="94"/>
      <c r="G113" s="94"/>
      <c r="H113" s="99"/>
      <c r="I113" s="101"/>
      <c r="J113" s="103"/>
      <c r="K113" s="90"/>
    </row>
    <row r="114" spans="2:11" x14ac:dyDescent="0.2">
      <c r="B114" s="95">
        <v>10</v>
      </c>
      <c r="C114" s="28" t="s">
        <v>233</v>
      </c>
      <c r="D114" s="97" t="s">
        <v>89</v>
      </c>
      <c r="E114" s="97"/>
      <c r="F114" s="97"/>
      <c r="G114" s="97"/>
      <c r="H114" s="98"/>
      <c r="I114" s="100">
        <f t="shared" si="23"/>
        <v>0</v>
      </c>
      <c r="J114" s="102"/>
      <c r="K114" s="89"/>
    </row>
    <row r="115" spans="2:11" ht="17" thickBot="1" x14ac:dyDescent="0.25">
      <c r="B115" s="96"/>
      <c r="C115" s="27" t="s">
        <v>234</v>
      </c>
      <c r="D115" s="94" t="s">
        <v>90</v>
      </c>
      <c r="E115" s="94"/>
      <c r="F115" s="94"/>
      <c r="G115" s="94"/>
      <c r="H115" s="99"/>
      <c r="I115" s="101"/>
      <c r="J115" s="103"/>
      <c r="K115" s="90"/>
    </row>
    <row r="116" spans="2:11" x14ac:dyDescent="0.2">
      <c r="B116" s="95">
        <v>11</v>
      </c>
      <c r="C116" s="28" t="s">
        <v>233</v>
      </c>
      <c r="D116" s="97" t="s">
        <v>91</v>
      </c>
      <c r="E116" s="97"/>
      <c r="F116" s="97"/>
      <c r="G116" s="97"/>
      <c r="H116" s="98"/>
      <c r="I116" s="100">
        <f t="shared" si="23"/>
        <v>0</v>
      </c>
      <c r="J116" s="102"/>
      <c r="K116" s="89"/>
    </row>
    <row r="117" spans="2:11" ht="17" thickBot="1" x14ac:dyDescent="0.25">
      <c r="B117" s="96"/>
      <c r="C117" s="27" t="s">
        <v>234</v>
      </c>
      <c r="D117" s="94" t="s">
        <v>92</v>
      </c>
      <c r="E117" s="94"/>
      <c r="F117" s="94"/>
      <c r="G117" s="94"/>
      <c r="H117" s="99"/>
      <c r="I117" s="101"/>
      <c r="J117" s="103"/>
      <c r="K117" s="90"/>
    </row>
    <row r="118" spans="2:11" x14ac:dyDescent="0.2">
      <c r="B118" s="95">
        <v>12</v>
      </c>
      <c r="C118" s="28" t="s">
        <v>233</v>
      </c>
      <c r="D118" s="97" t="s">
        <v>93</v>
      </c>
      <c r="E118" s="97"/>
      <c r="F118" s="97"/>
      <c r="G118" s="97"/>
      <c r="H118" s="98"/>
      <c r="I118" s="100">
        <f t="shared" si="23"/>
        <v>0</v>
      </c>
      <c r="J118" s="102"/>
      <c r="K118" s="89"/>
    </row>
    <row r="119" spans="2:11" ht="17" thickBot="1" x14ac:dyDescent="0.25">
      <c r="B119" s="96"/>
      <c r="C119" s="27" t="s">
        <v>234</v>
      </c>
      <c r="D119" s="94" t="s">
        <v>94</v>
      </c>
      <c r="E119" s="94"/>
      <c r="F119" s="94"/>
      <c r="G119" s="94"/>
      <c r="H119" s="99"/>
      <c r="I119" s="101"/>
      <c r="J119" s="103"/>
      <c r="K119" s="90"/>
    </row>
    <row r="120" spans="2:11" x14ac:dyDescent="0.2">
      <c r="B120" s="86" t="s">
        <v>279</v>
      </c>
      <c r="C120" s="86"/>
      <c r="D120" s="84" t="s">
        <v>282</v>
      </c>
      <c r="G120" s="87" t="s">
        <v>225</v>
      </c>
      <c r="H120" s="87"/>
      <c r="J120" s="88">
        <f ca="1">TODAY()</f>
        <v>46082</v>
      </c>
      <c r="K120" s="88"/>
    </row>
    <row r="132" spans="2:11" x14ac:dyDescent="0.2">
      <c r="B132" s="43"/>
    </row>
    <row r="133" spans="2:11" x14ac:dyDescent="0.2">
      <c r="K133" s="85" t="s">
        <v>286</v>
      </c>
    </row>
    <row r="134" spans="2:11" x14ac:dyDescent="0.2">
      <c r="H134" s="91" t="s">
        <v>278</v>
      </c>
      <c r="I134" s="91"/>
      <c r="J134" s="91"/>
      <c r="K134" s="91"/>
    </row>
    <row r="136" spans="2:11" ht="17" thickBot="1" x14ac:dyDescent="0.25">
      <c r="B136" s="41"/>
      <c r="C136" s="41"/>
      <c r="D136" s="41"/>
      <c r="E136" s="41"/>
      <c r="F136" s="41"/>
      <c r="G136" s="41"/>
      <c r="H136" s="41"/>
      <c r="I136" s="41"/>
      <c r="J136" s="42"/>
      <c r="K136" s="41"/>
    </row>
    <row r="137" spans="2:11" x14ac:dyDescent="0.2">
      <c r="B137" s="93" t="s">
        <v>95</v>
      </c>
      <c r="C137" s="93"/>
      <c r="D137" s="93"/>
      <c r="E137" s="93"/>
      <c r="F137" s="93"/>
      <c r="G137" s="93"/>
      <c r="H137" s="93"/>
      <c r="I137" s="93"/>
      <c r="J137" s="93"/>
      <c r="K137" s="93"/>
    </row>
    <row r="138" spans="2:11" ht="17" thickBot="1" x14ac:dyDescent="0.25">
      <c r="B138" s="92" t="s">
        <v>96</v>
      </c>
      <c r="C138" s="92"/>
      <c r="D138" s="92"/>
      <c r="E138" s="92"/>
      <c r="F138" s="92"/>
      <c r="G138" s="92"/>
      <c r="H138" s="92"/>
      <c r="I138" s="92"/>
      <c r="J138" s="92"/>
      <c r="K138" s="92"/>
    </row>
    <row r="139" spans="2:11" ht="25" thickBot="1" x14ac:dyDescent="0.25">
      <c r="B139" s="75" t="s">
        <v>3</v>
      </c>
      <c r="C139" s="75"/>
      <c r="D139" s="114" t="s">
        <v>232</v>
      </c>
      <c r="E139" s="114"/>
      <c r="F139" s="114"/>
      <c r="G139" s="115"/>
      <c r="H139" s="75" t="s">
        <v>17</v>
      </c>
      <c r="I139" s="76"/>
      <c r="J139" s="77" t="s">
        <v>18</v>
      </c>
      <c r="K139" s="78" t="s">
        <v>277</v>
      </c>
    </row>
    <row r="140" spans="2:11" x14ac:dyDescent="0.2">
      <c r="B140" s="95">
        <v>1</v>
      </c>
      <c r="C140" s="28" t="s">
        <v>233</v>
      </c>
      <c r="D140" s="107" t="s">
        <v>97</v>
      </c>
      <c r="E140" s="107"/>
      <c r="F140" s="107"/>
      <c r="G140" s="107"/>
      <c r="H140" s="98"/>
      <c r="I140" s="100">
        <f t="shared" ref="I140:I158" si="24">IF(H140="ü",1,0)</f>
        <v>0</v>
      </c>
      <c r="J140" s="102"/>
      <c r="K140" s="89"/>
    </row>
    <row r="141" spans="2:11" ht="17" thickBot="1" x14ac:dyDescent="0.25">
      <c r="B141" s="96"/>
      <c r="C141" s="27" t="s">
        <v>234</v>
      </c>
      <c r="D141" s="108" t="s">
        <v>98</v>
      </c>
      <c r="E141" s="108"/>
      <c r="F141" s="108"/>
      <c r="G141" s="108"/>
      <c r="H141" s="99"/>
      <c r="I141" s="101"/>
      <c r="J141" s="103"/>
      <c r="K141" s="90"/>
    </row>
    <row r="142" spans="2:11" x14ac:dyDescent="0.2">
      <c r="B142" s="95">
        <v>2</v>
      </c>
      <c r="C142" s="28" t="s">
        <v>233</v>
      </c>
      <c r="D142" s="97" t="s">
        <v>99</v>
      </c>
      <c r="E142" s="97"/>
      <c r="F142" s="97"/>
      <c r="G142" s="97"/>
      <c r="H142" s="98"/>
      <c r="I142" s="100">
        <f t="shared" si="24"/>
        <v>0</v>
      </c>
      <c r="J142" s="102"/>
      <c r="K142" s="89"/>
    </row>
    <row r="143" spans="2:11" ht="17" thickBot="1" x14ac:dyDescent="0.25">
      <c r="B143" s="96"/>
      <c r="C143" s="27" t="s">
        <v>234</v>
      </c>
      <c r="D143" s="104" t="s">
        <v>100</v>
      </c>
      <c r="E143" s="105"/>
      <c r="F143" s="105"/>
      <c r="G143" s="106"/>
      <c r="H143" s="99"/>
      <c r="I143" s="101"/>
      <c r="J143" s="103"/>
      <c r="K143" s="90"/>
    </row>
    <row r="144" spans="2:11" x14ac:dyDescent="0.2">
      <c r="B144" s="95">
        <v>3</v>
      </c>
      <c r="C144" s="28" t="s">
        <v>233</v>
      </c>
      <c r="D144" s="97" t="s">
        <v>101</v>
      </c>
      <c r="E144" s="97"/>
      <c r="F144" s="97"/>
      <c r="G144" s="97"/>
      <c r="H144" s="98"/>
      <c r="I144" s="100">
        <f t="shared" si="24"/>
        <v>0</v>
      </c>
      <c r="J144" s="102"/>
      <c r="K144" s="89"/>
    </row>
    <row r="145" spans="2:11" ht="17" thickBot="1" x14ac:dyDescent="0.25">
      <c r="B145" s="96"/>
      <c r="C145" s="27" t="s">
        <v>234</v>
      </c>
      <c r="D145" s="94" t="s">
        <v>102</v>
      </c>
      <c r="E145" s="94"/>
      <c r="F145" s="94"/>
      <c r="G145" s="94"/>
      <c r="H145" s="99"/>
      <c r="I145" s="101"/>
      <c r="J145" s="103"/>
      <c r="K145" s="90"/>
    </row>
    <row r="146" spans="2:11" x14ac:dyDescent="0.2">
      <c r="B146" s="95">
        <v>4</v>
      </c>
      <c r="C146" s="28" t="s">
        <v>233</v>
      </c>
      <c r="D146" s="97" t="s">
        <v>103</v>
      </c>
      <c r="E146" s="97"/>
      <c r="F146" s="97"/>
      <c r="G146" s="97"/>
      <c r="H146" s="98"/>
      <c r="I146" s="100">
        <f t="shared" si="24"/>
        <v>0</v>
      </c>
      <c r="J146" s="102"/>
      <c r="K146" s="89"/>
    </row>
    <row r="147" spans="2:11" ht="17" thickBot="1" x14ac:dyDescent="0.25">
      <c r="B147" s="96"/>
      <c r="C147" s="27" t="s">
        <v>234</v>
      </c>
      <c r="D147" s="94" t="s">
        <v>104</v>
      </c>
      <c r="E147" s="94"/>
      <c r="F147" s="94"/>
      <c r="G147" s="94"/>
      <c r="H147" s="99"/>
      <c r="I147" s="101"/>
      <c r="J147" s="103"/>
      <c r="K147" s="90"/>
    </row>
    <row r="148" spans="2:11" x14ac:dyDescent="0.2">
      <c r="B148" s="95">
        <v>5</v>
      </c>
      <c r="C148" s="28" t="s">
        <v>233</v>
      </c>
      <c r="D148" s="97" t="s">
        <v>105</v>
      </c>
      <c r="E148" s="97"/>
      <c r="F148" s="97"/>
      <c r="G148" s="97"/>
      <c r="H148" s="98"/>
      <c r="I148" s="100">
        <f t="shared" si="24"/>
        <v>0</v>
      </c>
      <c r="J148" s="102"/>
      <c r="K148" s="89"/>
    </row>
    <row r="149" spans="2:11" ht="17" thickBot="1" x14ac:dyDescent="0.25">
      <c r="B149" s="96"/>
      <c r="C149" s="27" t="s">
        <v>234</v>
      </c>
      <c r="D149" s="94" t="s">
        <v>106</v>
      </c>
      <c r="E149" s="94"/>
      <c r="F149" s="94"/>
      <c r="G149" s="94"/>
      <c r="H149" s="99"/>
      <c r="I149" s="101"/>
      <c r="J149" s="103"/>
      <c r="K149" s="90"/>
    </row>
    <row r="150" spans="2:11" x14ac:dyDescent="0.2">
      <c r="B150" s="95">
        <v>6</v>
      </c>
      <c r="C150" s="28" t="s">
        <v>233</v>
      </c>
      <c r="D150" s="97" t="s">
        <v>107</v>
      </c>
      <c r="E150" s="97"/>
      <c r="F150" s="97"/>
      <c r="G150" s="97"/>
      <c r="H150" s="98"/>
      <c r="I150" s="100">
        <f t="shared" si="24"/>
        <v>0</v>
      </c>
      <c r="J150" s="102"/>
      <c r="K150" s="89"/>
    </row>
    <row r="151" spans="2:11" ht="17" thickBot="1" x14ac:dyDescent="0.25">
      <c r="B151" s="96"/>
      <c r="C151" s="27" t="s">
        <v>234</v>
      </c>
      <c r="D151" s="94" t="s">
        <v>108</v>
      </c>
      <c r="E151" s="94"/>
      <c r="F151" s="94"/>
      <c r="G151" s="94"/>
      <c r="H151" s="99"/>
      <c r="I151" s="101"/>
      <c r="J151" s="103"/>
      <c r="K151" s="90"/>
    </row>
    <row r="152" spans="2:11" x14ac:dyDescent="0.2">
      <c r="B152" s="95">
        <v>7</v>
      </c>
      <c r="C152" s="28" t="s">
        <v>233</v>
      </c>
      <c r="D152" s="97" t="s">
        <v>109</v>
      </c>
      <c r="E152" s="97"/>
      <c r="F152" s="97"/>
      <c r="G152" s="97"/>
      <c r="H152" s="98"/>
      <c r="I152" s="100">
        <f t="shared" si="24"/>
        <v>0</v>
      </c>
      <c r="J152" s="102"/>
      <c r="K152" s="89"/>
    </row>
    <row r="153" spans="2:11" ht="17" thickBot="1" x14ac:dyDescent="0.25">
      <c r="B153" s="96"/>
      <c r="C153" s="27" t="s">
        <v>234</v>
      </c>
      <c r="D153" s="94" t="s">
        <v>110</v>
      </c>
      <c r="E153" s="94"/>
      <c r="F153" s="94"/>
      <c r="G153" s="94"/>
      <c r="H153" s="99"/>
      <c r="I153" s="101"/>
      <c r="J153" s="103"/>
      <c r="K153" s="90"/>
    </row>
    <row r="154" spans="2:11" x14ac:dyDescent="0.2">
      <c r="B154" s="95">
        <v>8</v>
      </c>
      <c r="C154" s="28" t="s">
        <v>233</v>
      </c>
      <c r="D154" s="97" t="s">
        <v>111</v>
      </c>
      <c r="E154" s="97"/>
      <c r="F154" s="97"/>
      <c r="G154" s="97"/>
      <c r="H154" s="98"/>
      <c r="I154" s="100">
        <f t="shared" si="24"/>
        <v>0</v>
      </c>
      <c r="J154" s="102"/>
      <c r="K154" s="89"/>
    </row>
    <row r="155" spans="2:11" ht="17" thickBot="1" x14ac:dyDescent="0.25">
      <c r="B155" s="96"/>
      <c r="C155" s="27" t="s">
        <v>234</v>
      </c>
      <c r="D155" s="94" t="s">
        <v>112</v>
      </c>
      <c r="E155" s="94"/>
      <c r="F155" s="94"/>
      <c r="G155" s="94"/>
      <c r="H155" s="99"/>
      <c r="I155" s="101"/>
      <c r="J155" s="103"/>
      <c r="K155" s="90"/>
    </row>
    <row r="156" spans="2:11" x14ac:dyDescent="0.2">
      <c r="B156" s="95">
        <v>9</v>
      </c>
      <c r="C156" s="28" t="s">
        <v>233</v>
      </c>
      <c r="D156" s="97" t="s">
        <v>113</v>
      </c>
      <c r="E156" s="97"/>
      <c r="F156" s="97"/>
      <c r="G156" s="97"/>
      <c r="H156" s="98"/>
      <c r="I156" s="100">
        <f t="shared" si="24"/>
        <v>0</v>
      </c>
      <c r="J156" s="102"/>
      <c r="K156" s="89"/>
    </row>
    <row r="157" spans="2:11" ht="17" thickBot="1" x14ac:dyDescent="0.25">
      <c r="B157" s="96"/>
      <c r="C157" s="27" t="s">
        <v>234</v>
      </c>
      <c r="D157" s="94" t="s">
        <v>114</v>
      </c>
      <c r="E157" s="94"/>
      <c r="F157" s="94"/>
      <c r="G157" s="94"/>
      <c r="H157" s="99"/>
      <c r="I157" s="101"/>
      <c r="J157" s="103"/>
      <c r="K157" s="90"/>
    </row>
    <row r="158" spans="2:11" x14ac:dyDescent="0.2">
      <c r="B158" s="95">
        <v>10</v>
      </c>
      <c r="C158" s="28" t="s">
        <v>233</v>
      </c>
      <c r="D158" s="97" t="s">
        <v>115</v>
      </c>
      <c r="E158" s="97"/>
      <c r="F158" s="97"/>
      <c r="G158" s="97"/>
      <c r="H158" s="98"/>
      <c r="I158" s="100">
        <f t="shared" si="24"/>
        <v>0</v>
      </c>
      <c r="J158" s="102"/>
      <c r="K158" s="89"/>
    </row>
    <row r="159" spans="2:11" ht="17" thickBot="1" x14ac:dyDescent="0.25">
      <c r="B159" s="96"/>
      <c r="C159" s="27" t="s">
        <v>234</v>
      </c>
      <c r="D159" s="94" t="s">
        <v>116</v>
      </c>
      <c r="E159" s="94"/>
      <c r="F159" s="94"/>
      <c r="G159" s="94"/>
      <c r="H159" s="99"/>
      <c r="I159" s="101"/>
      <c r="J159" s="103"/>
      <c r="K159" s="90"/>
    </row>
    <row r="160" spans="2:11" x14ac:dyDescent="0.2">
      <c r="B160" s="86" t="s">
        <v>279</v>
      </c>
      <c r="C160" s="86"/>
      <c r="D160" s="84" t="s">
        <v>282</v>
      </c>
      <c r="G160" s="87" t="s">
        <v>225</v>
      </c>
      <c r="H160" s="87"/>
      <c r="J160" s="88">
        <f ca="1">TODAY()</f>
        <v>46082</v>
      </c>
      <c r="K160" s="88"/>
    </row>
    <row r="177" spans="2:11" x14ac:dyDescent="0.2">
      <c r="K177" s="85" t="s">
        <v>285</v>
      </c>
    </row>
    <row r="178" spans="2:11" x14ac:dyDescent="0.2">
      <c r="H178" s="91" t="s">
        <v>278</v>
      </c>
      <c r="I178" s="91"/>
      <c r="J178" s="91"/>
      <c r="K178" s="91"/>
    </row>
    <row r="180" spans="2:11" ht="17" thickBot="1" x14ac:dyDescent="0.25">
      <c r="B180" s="41"/>
      <c r="C180" s="41"/>
      <c r="D180" s="41"/>
      <c r="E180" s="41"/>
      <c r="F180" s="41"/>
      <c r="G180" s="41"/>
      <c r="H180" s="41"/>
      <c r="I180" s="41"/>
      <c r="J180" s="42"/>
      <c r="K180" s="41"/>
    </row>
    <row r="181" spans="2:11" x14ac:dyDescent="0.2">
      <c r="B181" s="93" t="s">
        <v>95</v>
      </c>
      <c r="C181" s="93"/>
      <c r="D181" s="93"/>
      <c r="E181" s="93"/>
      <c r="F181" s="93"/>
      <c r="G181" s="93"/>
      <c r="H181" s="93"/>
      <c r="I181" s="93"/>
      <c r="J181" s="93"/>
      <c r="K181" s="93"/>
    </row>
    <row r="182" spans="2:11" ht="17" thickBot="1" x14ac:dyDescent="0.25">
      <c r="B182" s="92" t="s">
        <v>117</v>
      </c>
      <c r="C182" s="92"/>
      <c r="D182" s="92"/>
      <c r="E182" s="92"/>
      <c r="F182" s="92"/>
      <c r="G182" s="92"/>
      <c r="H182" s="92"/>
      <c r="I182" s="92"/>
      <c r="J182" s="92"/>
      <c r="K182" s="92"/>
    </row>
    <row r="183" spans="2:11" ht="25" thickBot="1" x14ac:dyDescent="0.25">
      <c r="B183" s="75" t="s">
        <v>3</v>
      </c>
      <c r="C183" s="75"/>
      <c r="D183" s="114" t="s">
        <v>232</v>
      </c>
      <c r="E183" s="114"/>
      <c r="F183" s="114"/>
      <c r="G183" s="115"/>
      <c r="H183" s="75" t="s">
        <v>17</v>
      </c>
      <c r="I183" s="76"/>
      <c r="J183" s="77" t="s">
        <v>18</v>
      </c>
      <c r="K183" s="78" t="s">
        <v>277</v>
      </c>
    </row>
    <row r="184" spans="2:11" x14ac:dyDescent="0.2">
      <c r="B184" s="95">
        <v>1</v>
      </c>
      <c r="C184" s="28" t="s">
        <v>233</v>
      </c>
      <c r="D184" s="107" t="s">
        <v>118</v>
      </c>
      <c r="E184" s="107"/>
      <c r="F184" s="107"/>
      <c r="G184" s="107"/>
      <c r="H184" s="98"/>
      <c r="I184" s="100">
        <f t="shared" ref="I184:I202" si="25">IF(H184="ü",1,0)</f>
        <v>0</v>
      </c>
      <c r="J184" s="102"/>
      <c r="K184" s="89"/>
    </row>
    <row r="185" spans="2:11" ht="17" thickBot="1" x14ac:dyDescent="0.25">
      <c r="B185" s="96"/>
      <c r="C185" s="27" t="s">
        <v>234</v>
      </c>
      <c r="D185" s="108" t="s">
        <v>119</v>
      </c>
      <c r="E185" s="108"/>
      <c r="F185" s="108"/>
      <c r="G185" s="108"/>
      <c r="H185" s="99"/>
      <c r="I185" s="101"/>
      <c r="J185" s="103"/>
      <c r="K185" s="90"/>
    </row>
    <row r="186" spans="2:11" x14ac:dyDescent="0.2">
      <c r="B186" s="95">
        <v>2</v>
      </c>
      <c r="C186" s="28" t="s">
        <v>233</v>
      </c>
      <c r="D186" s="97" t="s">
        <v>120</v>
      </c>
      <c r="E186" s="97"/>
      <c r="F186" s="97"/>
      <c r="G186" s="97"/>
      <c r="H186" s="98"/>
      <c r="I186" s="100">
        <f t="shared" si="25"/>
        <v>0</v>
      </c>
      <c r="J186" s="102"/>
      <c r="K186" s="89"/>
    </row>
    <row r="187" spans="2:11" ht="17" thickBot="1" x14ac:dyDescent="0.25">
      <c r="B187" s="96"/>
      <c r="C187" s="27" t="s">
        <v>234</v>
      </c>
      <c r="D187" s="104" t="s">
        <v>121</v>
      </c>
      <c r="E187" s="105"/>
      <c r="F187" s="105"/>
      <c r="G187" s="106"/>
      <c r="H187" s="99"/>
      <c r="I187" s="101"/>
      <c r="J187" s="103"/>
      <c r="K187" s="90"/>
    </row>
    <row r="188" spans="2:11" x14ac:dyDescent="0.2">
      <c r="B188" s="95">
        <v>3</v>
      </c>
      <c r="C188" s="28" t="s">
        <v>233</v>
      </c>
      <c r="D188" s="97" t="s">
        <v>122</v>
      </c>
      <c r="E188" s="97"/>
      <c r="F188" s="97"/>
      <c r="G188" s="97"/>
      <c r="H188" s="98"/>
      <c r="I188" s="100">
        <f t="shared" si="25"/>
        <v>0</v>
      </c>
      <c r="J188" s="102"/>
      <c r="K188" s="89"/>
    </row>
    <row r="189" spans="2:11" ht="17" thickBot="1" x14ac:dyDescent="0.25">
      <c r="B189" s="96"/>
      <c r="C189" s="27" t="s">
        <v>234</v>
      </c>
      <c r="D189" s="94" t="s">
        <v>123</v>
      </c>
      <c r="E189" s="94"/>
      <c r="F189" s="94"/>
      <c r="G189" s="94"/>
      <c r="H189" s="99"/>
      <c r="I189" s="101"/>
      <c r="J189" s="103"/>
      <c r="K189" s="90"/>
    </row>
    <row r="190" spans="2:11" x14ac:dyDescent="0.2">
      <c r="B190" s="95">
        <v>4</v>
      </c>
      <c r="C190" s="28" t="s">
        <v>233</v>
      </c>
      <c r="D190" s="97" t="s">
        <v>124</v>
      </c>
      <c r="E190" s="97"/>
      <c r="F190" s="97"/>
      <c r="G190" s="97"/>
      <c r="H190" s="98"/>
      <c r="I190" s="100">
        <f t="shared" si="25"/>
        <v>0</v>
      </c>
      <c r="J190" s="102"/>
      <c r="K190" s="89"/>
    </row>
    <row r="191" spans="2:11" ht="17" thickBot="1" x14ac:dyDescent="0.25">
      <c r="B191" s="96"/>
      <c r="C191" s="27" t="s">
        <v>234</v>
      </c>
      <c r="D191" s="94" t="s">
        <v>125</v>
      </c>
      <c r="E191" s="94"/>
      <c r="F191" s="94"/>
      <c r="G191" s="94"/>
      <c r="H191" s="99"/>
      <c r="I191" s="101"/>
      <c r="J191" s="103"/>
      <c r="K191" s="90"/>
    </row>
    <row r="192" spans="2:11" x14ac:dyDescent="0.2">
      <c r="B192" s="95">
        <v>5</v>
      </c>
      <c r="C192" s="28" t="s">
        <v>233</v>
      </c>
      <c r="D192" s="97" t="s">
        <v>126</v>
      </c>
      <c r="E192" s="97"/>
      <c r="F192" s="97"/>
      <c r="G192" s="97"/>
      <c r="H192" s="98"/>
      <c r="I192" s="100">
        <f t="shared" si="25"/>
        <v>0</v>
      </c>
      <c r="J192" s="102"/>
      <c r="K192" s="89"/>
    </row>
    <row r="193" spans="2:11" ht="17" thickBot="1" x14ac:dyDescent="0.25">
      <c r="B193" s="96"/>
      <c r="C193" s="27" t="s">
        <v>234</v>
      </c>
      <c r="D193" s="94" t="s">
        <v>127</v>
      </c>
      <c r="E193" s="94"/>
      <c r="F193" s="94"/>
      <c r="G193" s="94"/>
      <c r="H193" s="99"/>
      <c r="I193" s="101"/>
      <c r="J193" s="103"/>
      <c r="K193" s="90"/>
    </row>
    <row r="194" spans="2:11" x14ac:dyDescent="0.2">
      <c r="B194" s="95">
        <v>6</v>
      </c>
      <c r="C194" s="28" t="s">
        <v>233</v>
      </c>
      <c r="D194" s="97" t="s">
        <v>128</v>
      </c>
      <c r="E194" s="97"/>
      <c r="F194" s="97"/>
      <c r="G194" s="97"/>
      <c r="H194" s="98"/>
      <c r="I194" s="100">
        <f t="shared" si="25"/>
        <v>0</v>
      </c>
      <c r="J194" s="102"/>
      <c r="K194" s="89"/>
    </row>
    <row r="195" spans="2:11" ht="17" thickBot="1" x14ac:dyDescent="0.25">
      <c r="B195" s="96"/>
      <c r="C195" s="27" t="s">
        <v>234</v>
      </c>
      <c r="D195" s="94" t="s">
        <v>129</v>
      </c>
      <c r="E195" s="94"/>
      <c r="F195" s="94"/>
      <c r="G195" s="94"/>
      <c r="H195" s="99"/>
      <c r="I195" s="101"/>
      <c r="J195" s="103"/>
      <c r="K195" s="90"/>
    </row>
    <row r="196" spans="2:11" x14ac:dyDescent="0.2">
      <c r="B196" s="95">
        <v>7</v>
      </c>
      <c r="C196" s="28" t="s">
        <v>233</v>
      </c>
      <c r="D196" s="97" t="s">
        <v>130</v>
      </c>
      <c r="E196" s="97"/>
      <c r="F196" s="97"/>
      <c r="G196" s="97"/>
      <c r="H196" s="98"/>
      <c r="I196" s="100">
        <f t="shared" si="25"/>
        <v>0</v>
      </c>
      <c r="J196" s="102"/>
      <c r="K196" s="89"/>
    </row>
    <row r="197" spans="2:11" ht="17" thickBot="1" x14ac:dyDescent="0.25">
      <c r="B197" s="96"/>
      <c r="C197" s="27" t="s">
        <v>234</v>
      </c>
      <c r="D197" s="94" t="s">
        <v>131</v>
      </c>
      <c r="E197" s="94"/>
      <c r="F197" s="94"/>
      <c r="G197" s="94"/>
      <c r="H197" s="99"/>
      <c r="I197" s="101"/>
      <c r="J197" s="103"/>
      <c r="K197" s="90"/>
    </row>
    <row r="198" spans="2:11" x14ac:dyDescent="0.2">
      <c r="B198" s="95">
        <v>8</v>
      </c>
      <c r="C198" s="28" t="s">
        <v>233</v>
      </c>
      <c r="D198" s="97" t="s">
        <v>132</v>
      </c>
      <c r="E198" s="97"/>
      <c r="F198" s="97"/>
      <c r="G198" s="97"/>
      <c r="H198" s="98"/>
      <c r="I198" s="100">
        <f t="shared" si="25"/>
        <v>0</v>
      </c>
      <c r="J198" s="102"/>
      <c r="K198" s="89"/>
    </row>
    <row r="199" spans="2:11" ht="17" thickBot="1" x14ac:dyDescent="0.25">
      <c r="B199" s="96"/>
      <c r="C199" s="27" t="s">
        <v>234</v>
      </c>
      <c r="D199" s="94" t="s">
        <v>133</v>
      </c>
      <c r="E199" s="94"/>
      <c r="F199" s="94"/>
      <c r="G199" s="94"/>
      <c r="H199" s="99"/>
      <c r="I199" s="101"/>
      <c r="J199" s="103"/>
      <c r="K199" s="90"/>
    </row>
    <row r="200" spans="2:11" x14ac:dyDescent="0.2">
      <c r="B200" s="95">
        <v>9</v>
      </c>
      <c r="C200" s="28" t="s">
        <v>233</v>
      </c>
      <c r="D200" s="97" t="s">
        <v>134</v>
      </c>
      <c r="E200" s="97"/>
      <c r="F200" s="97"/>
      <c r="G200" s="97"/>
      <c r="H200" s="98"/>
      <c r="I200" s="100">
        <f t="shared" si="25"/>
        <v>0</v>
      </c>
      <c r="J200" s="102"/>
      <c r="K200" s="89"/>
    </row>
    <row r="201" spans="2:11" ht="17" thickBot="1" x14ac:dyDescent="0.25">
      <c r="B201" s="96"/>
      <c r="C201" s="27" t="s">
        <v>234</v>
      </c>
      <c r="D201" s="94" t="s">
        <v>135</v>
      </c>
      <c r="E201" s="94"/>
      <c r="F201" s="94"/>
      <c r="G201" s="94"/>
      <c r="H201" s="99"/>
      <c r="I201" s="101"/>
      <c r="J201" s="103"/>
      <c r="K201" s="90"/>
    </row>
    <row r="202" spans="2:11" x14ac:dyDescent="0.2">
      <c r="B202" s="95">
        <v>10</v>
      </c>
      <c r="C202" s="28" t="s">
        <v>233</v>
      </c>
      <c r="D202" s="97" t="s">
        <v>136</v>
      </c>
      <c r="E202" s="97"/>
      <c r="F202" s="97"/>
      <c r="G202" s="97"/>
      <c r="H202" s="98"/>
      <c r="I202" s="100">
        <f t="shared" si="25"/>
        <v>0</v>
      </c>
      <c r="J202" s="102"/>
      <c r="K202" s="89"/>
    </row>
    <row r="203" spans="2:11" ht="17" thickBot="1" x14ac:dyDescent="0.25">
      <c r="B203" s="96"/>
      <c r="C203" s="27" t="s">
        <v>234</v>
      </c>
      <c r="D203" s="94" t="s">
        <v>137</v>
      </c>
      <c r="E203" s="94"/>
      <c r="F203" s="94"/>
      <c r="G203" s="94"/>
      <c r="H203" s="99"/>
      <c r="I203" s="101"/>
      <c r="J203" s="103"/>
      <c r="K203" s="90"/>
    </row>
    <row r="204" spans="2:11" x14ac:dyDescent="0.2">
      <c r="B204" s="86" t="s">
        <v>279</v>
      </c>
      <c r="C204" s="86"/>
      <c r="D204" s="84" t="s">
        <v>282</v>
      </c>
      <c r="G204" s="87" t="s">
        <v>225</v>
      </c>
      <c r="H204" s="87"/>
      <c r="J204" s="88">
        <f ca="1">TODAY()</f>
        <v>46082</v>
      </c>
      <c r="K204" s="88"/>
    </row>
    <row r="220" spans="11:11" x14ac:dyDescent="0.2">
      <c r="K220" s="85" t="s">
        <v>284</v>
      </c>
    </row>
  </sheetData>
  <sheetProtection algorithmName="SHA-512" hashValue="X2RTgAoRc3bGkCsKtnsIbEPa1rKCuYZKiM6SF8HHqlNio648J1Tdj380i4QowPyoxSwfYdeAS0cmCyR0+BOJpg==" saltValue="VJ6FCeBLNFsrS/XaTk9SVA==" spinCount="100000" sheet="1" objects="1" scenarios="1" selectLockedCells="1"/>
  <mergeCells count="445">
    <mergeCell ref="B198:B199"/>
    <mergeCell ref="D198:G198"/>
    <mergeCell ref="H198:H199"/>
    <mergeCell ref="I198:I199"/>
    <mergeCell ref="J198:J199"/>
    <mergeCell ref="D199:G199"/>
    <mergeCell ref="B196:B197"/>
    <mergeCell ref="D196:G196"/>
    <mergeCell ref="B202:B203"/>
    <mergeCell ref="D202:G202"/>
    <mergeCell ref="H202:H203"/>
    <mergeCell ref="I202:I203"/>
    <mergeCell ref="J202:J203"/>
    <mergeCell ref="D203:G203"/>
    <mergeCell ref="B200:B201"/>
    <mergeCell ref="D200:G200"/>
    <mergeCell ref="H200:H201"/>
    <mergeCell ref="I200:I201"/>
    <mergeCell ref="J200:J201"/>
    <mergeCell ref="D201:G201"/>
    <mergeCell ref="H196:H197"/>
    <mergeCell ref="I196:I197"/>
    <mergeCell ref="J196:J197"/>
    <mergeCell ref="D197:G197"/>
    <mergeCell ref="B194:B195"/>
    <mergeCell ref="D194:G194"/>
    <mergeCell ref="H194:H195"/>
    <mergeCell ref="I194:I195"/>
    <mergeCell ref="J194:J195"/>
    <mergeCell ref="D195:G195"/>
    <mergeCell ref="B192:B193"/>
    <mergeCell ref="D192:G192"/>
    <mergeCell ref="H192:H193"/>
    <mergeCell ref="I192:I193"/>
    <mergeCell ref="J192:J193"/>
    <mergeCell ref="D193:G193"/>
    <mergeCell ref="B190:B191"/>
    <mergeCell ref="D190:G190"/>
    <mergeCell ref="H190:H191"/>
    <mergeCell ref="I190:I191"/>
    <mergeCell ref="J190:J191"/>
    <mergeCell ref="D191:G191"/>
    <mergeCell ref="D183:G183"/>
    <mergeCell ref="B184:B185"/>
    <mergeCell ref="D184:G184"/>
    <mergeCell ref="H184:H185"/>
    <mergeCell ref="I184:I185"/>
    <mergeCell ref="J184:J185"/>
    <mergeCell ref="D185:G185"/>
    <mergeCell ref="B188:B189"/>
    <mergeCell ref="D188:G188"/>
    <mergeCell ref="H188:H189"/>
    <mergeCell ref="I188:I189"/>
    <mergeCell ref="J188:J189"/>
    <mergeCell ref="D189:G189"/>
    <mergeCell ref="B186:B187"/>
    <mergeCell ref="D186:G186"/>
    <mergeCell ref="H186:H187"/>
    <mergeCell ref="I186:I187"/>
    <mergeCell ref="J186:J187"/>
    <mergeCell ref="D187:G187"/>
    <mergeCell ref="B158:B159"/>
    <mergeCell ref="D158:G158"/>
    <mergeCell ref="H158:H159"/>
    <mergeCell ref="I158:I159"/>
    <mergeCell ref="J158:J159"/>
    <mergeCell ref="D159:G159"/>
    <mergeCell ref="B156:B157"/>
    <mergeCell ref="D156:G156"/>
    <mergeCell ref="H156:H157"/>
    <mergeCell ref="I156:I157"/>
    <mergeCell ref="J156:J157"/>
    <mergeCell ref="D157:G157"/>
    <mergeCell ref="B154:B155"/>
    <mergeCell ref="D154:G154"/>
    <mergeCell ref="H154:H155"/>
    <mergeCell ref="I154:I155"/>
    <mergeCell ref="J154:J155"/>
    <mergeCell ref="D155:G155"/>
    <mergeCell ref="B152:B153"/>
    <mergeCell ref="D152:G152"/>
    <mergeCell ref="H152:H153"/>
    <mergeCell ref="I152:I153"/>
    <mergeCell ref="J152:J153"/>
    <mergeCell ref="D153:G153"/>
    <mergeCell ref="K142:K143"/>
    <mergeCell ref="B146:B147"/>
    <mergeCell ref="D146:G146"/>
    <mergeCell ref="H146:H147"/>
    <mergeCell ref="I146:I147"/>
    <mergeCell ref="J146:J147"/>
    <mergeCell ref="D147:G147"/>
    <mergeCell ref="B144:B145"/>
    <mergeCell ref="D144:G144"/>
    <mergeCell ref="H144:H145"/>
    <mergeCell ref="I144:I145"/>
    <mergeCell ref="J144:J145"/>
    <mergeCell ref="D145:G145"/>
    <mergeCell ref="B142:B143"/>
    <mergeCell ref="D142:G142"/>
    <mergeCell ref="H142:H143"/>
    <mergeCell ref="I142:I143"/>
    <mergeCell ref="J142:J143"/>
    <mergeCell ref="D143:G143"/>
    <mergeCell ref="D140:G140"/>
    <mergeCell ref="H140:H141"/>
    <mergeCell ref="I140:I141"/>
    <mergeCell ref="J140:J141"/>
    <mergeCell ref="D141:G141"/>
    <mergeCell ref="B118:B119"/>
    <mergeCell ref="D118:G118"/>
    <mergeCell ref="H118:H119"/>
    <mergeCell ref="I118:I119"/>
    <mergeCell ref="J118:J119"/>
    <mergeCell ref="D119:G119"/>
    <mergeCell ref="H134:K134"/>
    <mergeCell ref="B137:K137"/>
    <mergeCell ref="B138:K138"/>
    <mergeCell ref="K140:K141"/>
    <mergeCell ref="D139:G139"/>
    <mergeCell ref="B140:B141"/>
    <mergeCell ref="B116:B117"/>
    <mergeCell ref="D116:G116"/>
    <mergeCell ref="H116:H117"/>
    <mergeCell ref="I116:I117"/>
    <mergeCell ref="J116:J117"/>
    <mergeCell ref="D117:G117"/>
    <mergeCell ref="B114:B115"/>
    <mergeCell ref="D114:G114"/>
    <mergeCell ref="H114:H115"/>
    <mergeCell ref="I114:I115"/>
    <mergeCell ref="J114:J115"/>
    <mergeCell ref="D115:G115"/>
    <mergeCell ref="B112:B113"/>
    <mergeCell ref="D112:G112"/>
    <mergeCell ref="H112:H113"/>
    <mergeCell ref="I112:I113"/>
    <mergeCell ref="J112:J113"/>
    <mergeCell ref="D113:G113"/>
    <mergeCell ref="B110:B111"/>
    <mergeCell ref="D110:G110"/>
    <mergeCell ref="H110:H111"/>
    <mergeCell ref="I110:I111"/>
    <mergeCell ref="J110:J111"/>
    <mergeCell ref="D111:G111"/>
    <mergeCell ref="B108:B109"/>
    <mergeCell ref="D108:G108"/>
    <mergeCell ref="H108:H109"/>
    <mergeCell ref="I108:I109"/>
    <mergeCell ref="J108:J109"/>
    <mergeCell ref="D109:G109"/>
    <mergeCell ref="B106:B107"/>
    <mergeCell ref="D106:G106"/>
    <mergeCell ref="H106:H107"/>
    <mergeCell ref="I106:I107"/>
    <mergeCell ref="J106:J107"/>
    <mergeCell ref="D107:G107"/>
    <mergeCell ref="B104:B105"/>
    <mergeCell ref="D104:G104"/>
    <mergeCell ref="H104:H105"/>
    <mergeCell ref="I104:I105"/>
    <mergeCell ref="J104:J105"/>
    <mergeCell ref="D105:G105"/>
    <mergeCell ref="B102:B103"/>
    <mergeCell ref="D102:G102"/>
    <mergeCell ref="H102:H103"/>
    <mergeCell ref="I102:I103"/>
    <mergeCell ref="J102:J103"/>
    <mergeCell ref="D103:G103"/>
    <mergeCell ref="B100:B101"/>
    <mergeCell ref="D100:G100"/>
    <mergeCell ref="H100:H101"/>
    <mergeCell ref="I100:I101"/>
    <mergeCell ref="J100:J101"/>
    <mergeCell ref="D101:G101"/>
    <mergeCell ref="B98:B99"/>
    <mergeCell ref="D98:G98"/>
    <mergeCell ref="H98:H99"/>
    <mergeCell ref="I98:I99"/>
    <mergeCell ref="J98:J99"/>
    <mergeCell ref="D99:G99"/>
    <mergeCell ref="B96:B97"/>
    <mergeCell ref="D96:G96"/>
    <mergeCell ref="H96:H97"/>
    <mergeCell ref="I96:I97"/>
    <mergeCell ref="J96:J97"/>
    <mergeCell ref="D97:G97"/>
    <mergeCell ref="B76:B77"/>
    <mergeCell ref="D76:G76"/>
    <mergeCell ref="H76:H77"/>
    <mergeCell ref="I76:I77"/>
    <mergeCell ref="J76:J77"/>
    <mergeCell ref="D77:G77"/>
    <mergeCell ref="B74:B75"/>
    <mergeCell ref="D74:G74"/>
    <mergeCell ref="H74:H75"/>
    <mergeCell ref="I74:I75"/>
    <mergeCell ref="J74:J75"/>
    <mergeCell ref="D75:G75"/>
    <mergeCell ref="B72:B73"/>
    <mergeCell ref="D72:G72"/>
    <mergeCell ref="H72:H73"/>
    <mergeCell ref="I72:I73"/>
    <mergeCell ref="J72:J73"/>
    <mergeCell ref="D73:G73"/>
    <mergeCell ref="B70:B71"/>
    <mergeCell ref="D70:G70"/>
    <mergeCell ref="H70:H71"/>
    <mergeCell ref="I70:I71"/>
    <mergeCell ref="J70:J71"/>
    <mergeCell ref="D71:G71"/>
    <mergeCell ref="B68:B69"/>
    <mergeCell ref="D68:G68"/>
    <mergeCell ref="H68:H69"/>
    <mergeCell ref="I68:I69"/>
    <mergeCell ref="J68:J69"/>
    <mergeCell ref="D69:G69"/>
    <mergeCell ref="B66:B67"/>
    <mergeCell ref="D66:G66"/>
    <mergeCell ref="H66:H67"/>
    <mergeCell ref="I66:I67"/>
    <mergeCell ref="J66:J67"/>
    <mergeCell ref="D67:G67"/>
    <mergeCell ref="B64:B65"/>
    <mergeCell ref="D64:G64"/>
    <mergeCell ref="H64:H65"/>
    <mergeCell ref="I64:I65"/>
    <mergeCell ref="J64:J65"/>
    <mergeCell ref="D65:G65"/>
    <mergeCell ref="B62:B63"/>
    <mergeCell ref="D62:G62"/>
    <mergeCell ref="H62:H63"/>
    <mergeCell ref="I62:I63"/>
    <mergeCell ref="J62:J63"/>
    <mergeCell ref="D63:G63"/>
    <mergeCell ref="I60:I61"/>
    <mergeCell ref="J60:J61"/>
    <mergeCell ref="D61:G61"/>
    <mergeCell ref="B58:B59"/>
    <mergeCell ref="D58:G58"/>
    <mergeCell ref="H58:H59"/>
    <mergeCell ref="I58:I59"/>
    <mergeCell ref="J58:J59"/>
    <mergeCell ref="D59:G59"/>
    <mergeCell ref="J24:J25"/>
    <mergeCell ref="J22:J23"/>
    <mergeCell ref="J20:J21"/>
    <mergeCell ref="J42:J43"/>
    <mergeCell ref="B42:B43"/>
    <mergeCell ref="D42:G42"/>
    <mergeCell ref="H42:H43"/>
    <mergeCell ref="I42:I43"/>
    <mergeCell ref="D43:G43"/>
    <mergeCell ref="H36:H37"/>
    <mergeCell ref="I36:I37"/>
    <mergeCell ref="D37:G37"/>
    <mergeCell ref="B34:B35"/>
    <mergeCell ref="D34:G34"/>
    <mergeCell ref="H34:H35"/>
    <mergeCell ref="I34:I35"/>
    <mergeCell ref="D35:G35"/>
    <mergeCell ref="B32:B33"/>
    <mergeCell ref="H5:J5"/>
    <mergeCell ref="H8:J8"/>
    <mergeCell ref="D23:G23"/>
    <mergeCell ref="B12:D12"/>
    <mergeCell ref="J40:J41"/>
    <mergeCell ref="J38:J39"/>
    <mergeCell ref="J36:J37"/>
    <mergeCell ref="J34:J35"/>
    <mergeCell ref="J32:J33"/>
    <mergeCell ref="J30:J31"/>
    <mergeCell ref="J28:J29"/>
    <mergeCell ref="J26:J27"/>
    <mergeCell ref="B40:B41"/>
    <mergeCell ref="D40:G40"/>
    <mergeCell ref="H40:H41"/>
    <mergeCell ref="I40:I41"/>
    <mergeCell ref="D41:G41"/>
    <mergeCell ref="B38:B39"/>
    <mergeCell ref="D38:G38"/>
    <mergeCell ref="H38:H39"/>
    <mergeCell ref="I38:I39"/>
    <mergeCell ref="D39:G39"/>
    <mergeCell ref="B36:B37"/>
    <mergeCell ref="D36:G36"/>
    <mergeCell ref="D32:G32"/>
    <mergeCell ref="H32:H33"/>
    <mergeCell ref="I32:I33"/>
    <mergeCell ref="D33:G33"/>
    <mergeCell ref="B30:B31"/>
    <mergeCell ref="D30:G30"/>
    <mergeCell ref="H30:H31"/>
    <mergeCell ref="I30:I31"/>
    <mergeCell ref="D31:G31"/>
    <mergeCell ref="B28:B29"/>
    <mergeCell ref="D28:G28"/>
    <mergeCell ref="H28:H29"/>
    <mergeCell ref="I28:I29"/>
    <mergeCell ref="D29:G29"/>
    <mergeCell ref="D25:G25"/>
    <mergeCell ref="B26:B27"/>
    <mergeCell ref="D26:G26"/>
    <mergeCell ref="H26:H27"/>
    <mergeCell ref="I26:I27"/>
    <mergeCell ref="D27:G27"/>
    <mergeCell ref="B9:D9"/>
    <mergeCell ref="B11:D11"/>
    <mergeCell ref="B14:D14"/>
    <mergeCell ref="D19:G19"/>
    <mergeCell ref="B18:K18"/>
    <mergeCell ref="B17:K17"/>
    <mergeCell ref="K24:K25"/>
    <mergeCell ref="K22:K23"/>
    <mergeCell ref="K20:K21"/>
    <mergeCell ref="B22:B23"/>
    <mergeCell ref="D22:G22"/>
    <mergeCell ref="H22:H23"/>
    <mergeCell ref="I22:I23"/>
    <mergeCell ref="B24:B25"/>
    <mergeCell ref="D24:G24"/>
    <mergeCell ref="H24:H25"/>
    <mergeCell ref="I24:I25"/>
    <mergeCell ref="D20:G20"/>
    <mergeCell ref="H20:H21"/>
    <mergeCell ref="I20:I21"/>
    <mergeCell ref="D21:G21"/>
    <mergeCell ref="A3:K3"/>
    <mergeCell ref="H1:K1"/>
    <mergeCell ref="K52:K53"/>
    <mergeCell ref="K54:K55"/>
    <mergeCell ref="K56:K57"/>
    <mergeCell ref="K58:K59"/>
    <mergeCell ref="H46:K46"/>
    <mergeCell ref="K42:K43"/>
    <mergeCell ref="K40:K41"/>
    <mergeCell ref="K38:K39"/>
    <mergeCell ref="K36:K37"/>
    <mergeCell ref="K34:K35"/>
    <mergeCell ref="K32:K33"/>
    <mergeCell ref="K30:K31"/>
    <mergeCell ref="K28:K29"/>
    <mergeCell ref="K26:K27"/>
    <mergeCell ref="B5:D5"/>
    <mergeCell ref="B6:D6"/>
    <mergeCell ref="B8:D8"/>
    <mergeCell ref="E5:F5"/>
    <mergeCell ref="B20:B21"/>
    <mergeCell ref="B49:K49"/>
    <mergeCell ref="D51:G51"/>
    <mergeCell ref="B52:B53"/>
    <mergeCell ref="D53:G53"/>
    <mergeCell ref="K108:K109"/>
    <mergeCell ref="K110:K111"/>
    <mergeCell ref="K112:K113"/>
    <mergeCell ref="K114:K115"/>
    <mergeCell ref="K96:K97"/>
    <mergeCell ref="K98:K99"/>
    <mergeCell ref="K100:K101"/>
    <mergeCell ref="K102:K103"/>
    <mergeCell ref="K104:K105"/>
    <mergeCell ref="K106:K107"/>
    <mergeCell ref="H90:K90"/>
    <mergeCell ref="K60:K61"/>
    <mergeCell ref="K62:K63"/>
    <mergeCell ref="K64:K65"/>
    <mergeCell ref="K66:K67"/>
    <mergeCell ref="K68:K69"/>
    <mergeCell ref="K70:K71"/>
    <mergeCell ref="K72:K73"/>
    <mergeCell ref="K74:K75"/>
    <mergeCell ref="K76:K77"/>
    <mergeCell ref="D95:G95"/>
    <mergeCell ref="K116:K117"/>
    <mergeCell ref="K118:K119"/>
    <mergeCell ref="B93:K93"/>
    <mergeCell ref="B94:K94"/>
    <mergeCell ref="B50:K50"/>
    <mergeCell ref="B56:B57"/>
    <mergeCell ref="D56:G56"/>
    <mergeCell ref="H56:H57"/>
    <mergeCell ref="I56:I57"/>
    <mergeCell ref="J56:J57"/>
    <mergeCell ref="D57:G57"/>
    <mergeCell ref="B54:B55"/>
    <mergeCell ref="D54:G54"/>
    <mergeCell ref="H54:H55"/>
    <mergeCell ref="I54:I55"/>
    <mergeCell ref="J54:J55"/>
    <mergeCell ref="D55:G55"/>
    <mergeCell ref="B60:B61"/>
    <mergeCell ref="D60:G60"/>
    <mergeCell ref="H60:H61"/>
    <mergeCell ref="D52:G52"/>
    <mergeCell ref="H52:H53"/>
    <mergeCell ref="I52:I53"/>
    <mergeCell ref="J52:J53"/>
    <mergeCell ref="K144:K145"/>
    <mergeCell ref="K146:K147"/>
    <mergeCell ref="K148:K149"/>
    <mergeCell ref="K150:K151"/>
    <mergeCell ref="K152:K153"/>
    <mergeCell ref="K154:K155"/>
    <mergeCell ref="K156:K157"/>
    <mergeCell ref="K158:K159"/>
    <mergeCell ref="K184:K185"/>
    <mergeCell ref="H178:K178"/>
    <mergeCell ref="B182:K182"/>
    <mergeCell ref="B181:K181"/>
    <mergeCell ref="B150:B151"/>
    <mergeCell ref="D150:G150"/>
    <mergeCell ref="H150:H151"/>
    <mergeCell ref="I150:I151"/>
    <mergeCell ref="J150:J151"/>
    <mergeCell ref="D151:G151"/>
    <mergeCell ref="B148:B149"/>
    <mergeCell ref="D148:G148"/>
    <mergeCell ref="H148:H149"/>
    <mergeCell ref="I148:I149"/>
    <mergeCell ref="J148:J149"/>
    <mergeCell ref="D149:G149"/>
    <mergeCell ref="B44:C44"/>
    <mergeCell ref="B78:C78"/>
    <mergeCell ref="B120:C120"/>
    <mergeCell ref="B160:C160"/>
    <mergeCell ref="B204:C204"/>
    <mergeCell ref="G44:H44"/>
    <mergeCell ref="J44:K44"/>
    <mergeCell ref="G78:H78"/>
    <mergeCell ref="J78:K78"/>
    <mergeCell ref="G120:H120"/>
    <mergeCell ref="J120:K120"/>
    <mergeCell ref="G160:H160"/>
    <mergeCell ref="J160:K160"/>
    <mergeCell ref="G204:H204"/>
    <mergeCell ref="J204:K204"/>
    <mergeCell ref="K186:K187"/>
    <mergeCell ref="K188:K189"/>
    <mergeCell ref="K190:K191"/>
    <mergeCell ref="K192:K193"/>
    <mergeCell ref="K194:K195"/>
    <mergeCell ref="K196:K197"/>
    <mergeCell ref="K198:K199"/>
    <mergeCell ref="K200:K201"/>
    <mergeCell ref="K202:K203"/>
  </mergeCells>
  <dataValidations count="1">
    <dataValidation type="list" allowBlank="1" showInputMessage="1" showErrorMessage="1" sqref="H8:J8" xr:uid="{A36C93E4-361E-524D-8FAC-DBB7D9F6C216}">
      <formula1>"Male, Female"</formula1>
    </dataValidation>
  </dataValidations>
  <pageMargins left="0.43518518518518517" right="0.35185185185185186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00A3535-B7CC-2341-A338-A2F4EF0B25BB}">
          <x14:formula1>
            <xm:f>'DO NOT DELETE'!$B$21:$B$24</xm:f>
          </x14:formula1>
          <xm:sqref>E11</xm:sqref>
        </x14:dataValidation>
        <x14:dataValidation type="list" allowBlank="1" showInputMessage="1" showErrorMessage="1" xr:uid="{7CBD2623-F513-0B4A-BECA-7B1BEFC5B5A6}">
          <x14:formula1>
            <xm:f>'DO NOT DELETE'!$B$17:$B$18</xm:f>
          </x14:formula1>
          <xm:sqref>H20:H43 H52:H77 H96:H119 J96:K119 H140:H159 J140:K159 H184:H203 J184:K203 J20:K43 J52:K77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F242-72FD-0B48-A1A5-4385409A9BF1}">
  <dimension ref="A1:N63"/>
  <sheetViews>
    <sheetView showGridLines="0" view="pageLayout" topLeftCell="A36" zoomScale="150" zoomScaleNormal="100" zoomScaleSheetLayoutView="210" zoomScalePageLayoutView="150" workbookViewId="0">
      <selection activeCell="A57" sqref="A57:E57"/>
    </sheetView>
  </sheetViews>
  <sheetFormatPr baseColWidth="10" defaultRowHeight="13" x14ac:dyDescent="0.15"/>
  <cols>
    <col min="1" max="1" width="5.6640625" style="47" customWidth="1"/>
    <col min="2" max="2" width="12" style="46" customWidth="1"/>
    <col min="3" max="3" width="0.6640625" style="47" customWidth="1"/>
    <col min="4" max="4" width="5.83203125" style="47" customWidth="1"/>
    <col min="5" max="5" width="12" style="46" customWidth="1"/>
    <col min="6" max="6" width="0.6640625" style="46" customWidth="1"/>
    <col min="7" max="7" width="5.6640625" style="47" customWidth="1"/>
    <col min="8" max="8" width="12" style="46" customWidth="1"/>
    <col min="9" max="9" width="0.6640625" style="46" customWidth="1"/>
    <col min="10" max="10" width="5.6640625" style="46" customWidth="1"/>
    <col min="11" max="11" width="12" style="46" customWidth="1"/>
    <col min="12" max="12" width="0.6640625" style="46" customWidth="1"/>
    <col min="13" max="13" width="5.83203125" style="46" customWidth="1"/>
    <col min="14" max="14" width="12" style="46" customWidth="1"/>
    <col min="15" max="16384" width="10.83203125" style="46"/>
  </cols>
  <sheetData>
    <row r="1" spans="1:14" ht="23" x14ac:dyDescent="0.25">
      <c r="A1" s="137" t="s">
        <v>281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14" ht="5" customHeight="1" x14ac:dyDescent="0.15"/>
    <row r="3" spans="1:14" ht="17" customHeight="1" x14ac:dyDescent="0.15">
      <c r="A3" s="48" t="s">
        <v>216</v>
      </c>
      <c r="B3" s="139">
        <f>Questionnaire!E5</f>
        <v>0</v>
      </c>
      <c r="C3" s="139"/>
      <c r="D3" s="139"/>
      <c r="E3" s="139"/>
      <c r="F3" s="139"/>
      <c r="G3" s="139"/>
      <c r="H3" s="139"/>
      <c r="K3" s="51" t="s">
        <v>217</v>
      </c>
      <c r="L3" s="138">
        <f>Questionnaire!H5</f>
        <v>0</v>
      </c>
      <c r="M3" s="138"/>
      <c r="N3" s="138"/>
    </row>
    <row r="4" spans="1:14" ht="5" customHeight="1" x14ac:dyDescent="0.15">
      <c r="A4" s="48"/>
      <c r="B4" s="52"/>
      <c r="C4" s="52"/>
      <c r="D4" s="52"/>
      <c r="E4" s="52"/>
      <c r="F4" s="52"/>
      <c r="G4" s="52"/>
      <c r="H4" s="52"/>
      <c r="K4" s="51"/>
      <c r="L4" s="53"/>
      <c r="M4" s="53"/>
      <c r="N4" s="53"/>
    </row>
    <row r="5" spans="1:14" x14ac:dyDescent="0.15">
      <c r="A5" s="51" t="s">
        <v>253</v>
      </c>
      <c r="B5" s="54">
        <f>Questionnaire!E8</f>
        <v>0</v>
      </c>
      <c r="E5" s="51" t="s">
        <v>276</v>
      </c>
      <c r="G5" s="54">
        <f>Questionnaire!H8</f>
        <v>0</v>
      </c>
    </row>
    <row r="7" spans="1:14" x14ac:dyDescent="0.15">
      <c r="A7" s="141" t="s">
        <v>199</v>
      </c>
      <c r="B7" s="141"/>
      <c r="C7" s="141"/>
      <c r="D7" s="141"/>
      <c r="E7" s="141"/>
      <c r="F7" s="141"/>
      <c r="G7" s="141"/>
      <c r="H7" s="141"/>
      <c r="J7" s="141" t="s">
        <v>196</v>
      </c>
      <c r="K7" s="141"/>
      <c r="L7" s="141"/>
      <c r="M7" s="141"/>
      <c r="N7" s="141"/>
    </row>
    <row r="8" spans="1:14" ht="4" customHeight="1" x14ac:dyDescent="0.15"/>
    <row r="9" spans="1:14" x14ac:dyDescent="0.15">
      <c r="A9" s="141" t="s">
        <v>193</v>
      </c>
      <c r="B9" s="141"/>
      <c r="C9" s="56"/>
      <c r="D9" s="141" t="s">
        <v>194</v>
      </c>
      <c r="E9" s="141"/>
      <c r="F9" s="52"/>
      <c r="G9" s="141" t="s">
        <v>195</v>
      </c>
      <c r="H9" s="141"/>
      <c r="J9" s="141" t="s">
        <v>204</v>
      </c>
      <c r="K9" s="141"/>
      <c r="M9" s="141" t="s">
        <v>205</v>
      </c>
      <c r="N9" s="141"/>
    </row>
    <row r="10" spans="1:14" ht="4" customHeight="1" x14ac:dyDescent="0.15">
      <c r="J10" s="47"/>
      <c r="M10" s="47"/>
    </row>
    <row r="11" spans="1:14" x14ac:dyDescent="0.15">
      <c r="A11" s="57">
        <v>1</v>
      </c>
      <c r="B11" s="44">
        <f>Questionnaire!I20</f>
        <v>0</v>
      </c>
      <c r="D11" s="57">
        <v>1</v>
      </c>
      <c r="E11" s="44">
        <f>Questionnaire!I52</f>
        <v>0</v>
      </c>
      <c r="G11" s="57">
        <v>1</v>
      </c>
      <c r="H11" s="44">
        <f>Questionnaire!I96</f>
        <v>0</v>
      </c>
      <c r="J11" s="57">
        <v>1</v>
      </c>
      <c r="K11" s="45">
        <f>Questionnaire!I140</f>
        <v>0</v>
      </c>
      <c r="M11" s="57">
        <v>1</v>
      </c>
      <c r="N11" s="45">
        <f>Questionnaire!I184</f>
        <v>0</v>
      </c>
    </row>
    <row r="12" spans="1:14" x14ac:dyDescent="0.15">
      <c r="A12" s="57">
        <v>2</v>
      </c>
      <c r="B12" s="44">
        <f>Questionnaire!I22</f>
        <v>0</v>
      </c>
      <c r="D12" s="57">
        <v>2</v>
      </c>
      <c r="E12" s="44">
        <f>Questionnaire!I54</f>
        <v>0</v>
      </c>
      <c r="G12" s="57">
        <v>2</v>
      </c>
      <c r="H12" s="44">
        <f>Questionnaire!I98</f>
        <v>0</v>
      </c>
      <c r="J12" s="57">
        <v>2</v>
      </c>
      <c r="K12" s="45">
        <f>Questionnaire!I142</f>
        <v>0</v>
      </c>
      <c r="M12" s="57">
        <v>2</v>
      </c>
      <c r="N12" s="45">
        <f>Questionnaire!I186</f>
        <v>0</v>
      </c>
    </row>
    <row r="13" spans="1:14" x14ac:dyDescent="0.15">
      <c r="A13" s="57">
        <v>3</v>
      </c>
      <c r="B13" s="44">
        <f>Questionnaire!I24</f>
        <v>0</v>
      </c>
      <c r="D13" s="57">
        <v>3</v>
      </c>
      <c r="E13" s="44">
        <f>Questionnaire!I56</f>
        <v>0</v>
      </c>
      <c r="G13" s="57">
        <v>3</v>
      </c>
      <c r="H13" s="44">
        <f>Questionnaire!I100</f>
        <v>0</v>
      </c>
      <c r="J13" s="57">
        <v>3</v>
      </c>
      <c r="K13" s="45">
        <f>Questionnaire!I144</f>
        <v>0</v>
      </c>
      <c r="M13" s="57">
        <v>3</v>
      </c>
      <c r="N13" s="45">
        <f>Questionnaire!I188</f>
        <v>0</v>
      </c>
    </row>
    <row r="14" spans="1:14" x14ac:dyDescent="0.15">
      <c r="A14" s="57">
        <v>4</v>
      </c>
      <c r="B14" s="44">
        <f>Questionnaire!I26</f>
        <v>0</v>
      </c>
      <c r="D14" s="57">
        <v>4</v>
      </c>
      <c r="E14" s="44">
        <f>Questionnaire!I58</f>
        <v>0</v>
      </c>
      <c r="G14" s="57">
        <v>4</v>
      </c>
      <c r="H14" s="44">
        <f>Questionnaire!I102</f>
        <v>0</v>
      </c>
      <c r="J14" s="57">
        <v>4</v>
      </c>
      <c r="K14" s="45">
        <f>Questionnaire!I146</f>
        <v>0</v>
      </c>
      <c r="M14" s="57">
        <v>4</v>
      </c>
      <c r="N14" s="45">
        <f>Questionnaire!I190</f>
        <v>0</v>
      </c>
    </row>
    <row r="15" spans="1:14" x14ac:dyDescent="0.15">
      <c r="A15" s="57">
        <v>5</v>
      </c>
      <c r="B15" s="44">
        <f>Questionnaire!I28</f>
        <v>0</v>
      </c>
      <c r="D15" s="57">
        <v>5</v>
      </c>
      <c r="E15" s="44">
        <f>Questionnaire!I60</f>
        <v>0</v>
      </c>
      <c r="G15" s="57">
        <v>5</v>
      </c>
      <c r="H15" s="44">
        <f>Questionnaire!I104</f>
        <v>0</v>
      </c>
      <c r="J15" s="57">
        <v>5</v>
      </c>
      <c r="K15" s="45">
        <f>Questionnaire!I148</f>
        <v>0</v>
      </c>
      <c r="M15" s="57">
        <v>5</v>
      </c>
      <c r="N15" s="45">
        <f>Questionnaire!I192</f>
        <v>0</v>
      </c>
    </row>
    <row r="16" spans="1:14" x14ac:dyDescent="0.15">
      <c r="A16" s="57">
        <v>6</v>
      </c>
      <c r="B16" s="44">
        <f>Questionnaire!I30</f>
        <v>0</v>
      </c>
      <c r="D16" s="57">
        <v>6</v>
      </c>
      <c r="E16" s="44">
        <f>Questionnaire!I62</f>
        <v>0</v>
      </c>
      <c r="G16" s="57">
        <v>6</v>
      </c>
      <c r="H16" s="44">
        <f>Questionnaire!I106</f>
        <v>0</v>
      </c>
      <c r="J16" s="57">
        <v>6</v>
      </c>
      <c r="K16" s="45">
        <f>Questionnaire!I150</f>
        <v>0</v>
      </c>
      <c r="M16" s="57">
        <v>6</v>
      </c>
      <c r="N16" s="45">
        <f>Questionnaire!I194</f>
        <v>0</v>
      </c>
    </row>
    <row r="17" spans="1:14" x14ac:dyDescent="0.15">
      <c r="A17" s="57">
        <v>7</v>
      </c>
      <c r="B17" s="44">
        <f>Questionnaire!I32</f>
        <v>0</v>
      </c>
      <c r="D17" s="57">
        <v>7</v>
      </c>
      <c r="E17" s="44">
        <f>Questionnaire!I64</f>
        <v>0</v>
      </c>
      <c r="G17" s="57">
        <v>7</v>
      </c>
      <c r="H17" s="44">
        <f>Questionnaire!I108</f>
        <v>0</v>
      </c>
      <c r="J17" s="57">
        <v>7</v>
      </c>
      <c r="K17" s="45">
        <f>Questionnaire!I152</f>
        <v>0</v>
      </c>
      <c r="M17" s="57">
        <v>7</v>
      </c>
      <c r="N17" s="45">
        <f>Questionnaire!I196</f>
        <v>0</v>
      </c>
    </row>
    <row r="18" spans="1:14" x14ac:dyDescent="0.15">
      <c r="A18" s="57">
        <v>8</v>
      </c>
      <c r="B18" s="44">
        <f>Questionnaire!I34</f>
        <v>0</v>
      </c>
      <c r="D18" s="57">
        <v>8</v>
      </c>
      <c r="E18" s="44">
        <f>Questionnaire!I66</f>
        <v>0</v>
      </c>
      <c r="G18" s="57">
        <v>8</v>
      </c>
      <c r="H18" s="44">
        <f>Questionnaire!I110</f>
        <v>0</v>
      </c>
      <c r="J18" s="57">
        <v>8</v>
      </c>
      <c r="K18" s="45">
        <f>Questionnaire!I154</f>
        <v>0</v>
      </c>
      <c r="M18" s="57">
        <v>8</v>
      </c>
      <c r="N18" s="45">
        <f>Questionnaire!I198</f>
        <v>0</v>
      </c>
    </row>
    <row r="19" spans="1:14" x14ac:dyDescent="0.15">
      <c r="A19" s="57">
        <v>9</v>
      </c>
      <c r="B19" s="44">
        <f>Questionnaire!I36</f>
        <v>0</v>
      </c>
      <c r="D19" s="57">
        <v>9</v>
      </c>
      <c r="E19" s="44">
        <f>Questionnaire!I68</f>
        <v>0</v>
      </c>
      <c r="G19" s="57">
        <v>9</v>
      </c>
      <c r="H19" s="44">
        <f>Questionnaire!I112</f>
        <v>0</v>
      </c>
      <c r="J19" s="57">
        <v>9</v>
      </c>
      <c r="K19" s="45">
        <f>Questionnaire!I156</f>
        <v>0</v>
      </c>
      <c r="M19" s="57">
        <v>9</v>
      </c>
      <c r="N19" s="45">
        <f>Questionnaire!I200</f>
        <v>0</v>
      </c>
    </row>
    <row r="20" spans="1:14" x14ac:dyDescent="0.15">
      <c r="A20" s="57">
        <v>10</v>
      </c>
      <c r="B20" s="44">
        <f>Questionnaire!I38</f>
        <v>0</v>
      </c>
      <c r="D20" s="57">
        <v>10</v>
      </c>
      <c r="E20" s="44">
        <f>Questionnaire!I70</f>
        <v>0</v>
      </c>
      <c r="G20" s="57">
        <v>10</v>
      </c>
      <c r="H20" s="44">
        <f>Questionnaire!I114</f>
        <v>0</v>
      </c>
      <c r="J20" s="57">
        <v>10</v>
      </c>
      <c r="K20" s="45">
        <f>Questionnaire!I158</f>
        <v>0</v>
      </c>
      <c r="M20" s="57">
        <v>10</v>
      </c>
      <c r="N20" s="45">
        <f>Questionnaire!I202</f>
        <v>0</v>
      </c>
    </row>
    <row r="21" spans="1:14" x14ac:dyDescent="0.15">
      <c r="A21" s="57">
        <v>11</v>
      </c>
      <c r="B21" s="44">
        <f>Questionnaire!I40</f>
        <v>0</v>
      </c>
      <c r="D21" s="57">
        <v>11</v>
      </c>
      <c r="E21" s="44">
        <f>Questionnaire!I72</f>
        <v>0</v>
      </c>
      <c r="G21" s="57">
        <v>11</v>
      </c>
      <c r="H21" s="44">
        <f>Questionnaire!I116</f>
        <v>0</v>
      </c>
      <c r="J21" s="47"/>
      <c r="K21" s="47"/>
      <c r="M21" s="47"/>
      <c r="N21" s="47"/>
    </row>
    <row r="22" spans="1:14" x14ac:dyDescent="0.15">
      <c r="A22" s="57">
        <v>12</v>
      </c>
      <c r="B22" s="44">
        <f>Questionnaire!I42</f>
        <v>0</v>
      </c>
      <c r="D22" s="57">
        <v>12</v>
      </c>
      <c r="E22" s="44">
        <f>Questionnaire!I74</f>
        <v>0</v>
      </c>
      <c r="G22" s="57">
        <v>12</v>
      </c>
      <c r="H22" s="44">
        <f>Questionnaire!I118</f>
        <v>0</v>
      </c>
      <c r="J22" s="47"/>
      <c r="K22" s="47"/>
      <c r="M22" s="47"/>
      <c r="N22" s="47"/>
    </row>
    <row r="23" spans="1:14" x14ac:dyDescent="0.15">
      <c r="B23" s="47"/>
      <c r="D23" s="57">
        <v>13</v>
      </c>
      <c r="E23" s="44">
        <f>Questionnaire!I76</f>
        <v>0</v>
      </c>
      <c r="H23" s="47"/>
      <c r="J23" s="47"/>
      <c r="K23" s="47"/>
      <c r="M23" s="47"/>
      <c r="N23" s="47"/>
    </row>
    <row r="24" spans="1:14" ht="8" customHeight="1" x14ac:dyDescent="0.15">
      <c r="J24" s="47"/>
      <c r="M24" s="47"/>
    </row>
    <row r="25" spans="1:14" ht="14" x14ac:dyDescent="0.15">
      <c r="A25" s="55" t="s">
        <v>141</v>
      </c>
      <c r="B25" s="58">
        <f>SUM(B11:B22)</f>
        <v>0</v>
      </c>
      <c r="D25" s="55" t="s">
        <v>141</v>
      </c>
      <c r="E25" s="58">
        <f>SUM(E11:E23)</f>
        <v>0</v>
      </c>
      <c r="G25" s="55" t="s">
        <v>141</v>
      </c>
      <c r="H25" s="58">
        <f>SUM(H11:H22)</f>
        <v>0</v>
      </c>
      <c r="J25" s="55" t="s">
        <v>141</v>
      </c>
      <c r="K25" s="58">
        <f>SUM(K11:K21)</f>
        <v>0</v>
      </c>
      <c r="M25" s="55" t="s">
        <v>141</v>
      </c>
      <c r="N25" s="58">
        <f>SUM(N11:N20)</f>
        <v>0</v>
      </c>
    </row>
    <row r="26" spans="1:14" ht="4" customHeight="1" x14ac:dyDescent="0.15">
      <c r="J26" s="47"/>
      <c r="M26" s="47"/>
    </row>
    <row r="27" spans="1:14" s="62" customFormat="1" ht="42" customHeight="1" x14ac:dyDescent="0.2">
      <c r="A27" s="59" t="s">
        <v>197</v>
      </c>
      <c r="B27" s="60" t="str">
        <f>IF(B25&lt;=2,"Severe Motor Impairment", IF(B25&lt;=4,"Moderate Coordination Difficulty", IF(B25&lt;=7,"Mild Motor Difficulty", IF(B25&gt;=8,"Age-appropriate Motor Skills"))))</f>
        <v>Severe Motor Impairment</v>
      </c>
      <c r="C27" s="61"/>
      <c r="D27" s="59" t="s">
        <v>197</v>
      </c>
      <c r="E27" s="60" t="str">
        <f>IF(E25&lt;=2,"Severe Motor Impairment", IF(E25&lt;=4,"Moderate Coordination Difficulty", IF(E25&lt;=7,"Mild Motor Difficulty", IF(E25&gt;=8,"Age-appropriate Motor Skills"))))</f>
        <v>Severe Motor Impairment</v>
      </c>
      <c r="G27" s="59" t="s">
        <v>197</v>
      </c>
      <c r="H27" s="60" t="str">
        <f>IF(H25&lt;=2,"Severe Motor Impairment", IF(H25&lt;=4,"Moderate Coordination Difficulty", IF(H25&lt;=7,"Mild Motor Difficulty", IF(H25&gt;=8,"Age-appropriate Motor Skills"))))</f>
        <v>Severe Motor Impairment</v>
      </c>
      <c r="J27" s="59" t="s">
        <v>197</v>
      </c>
      <c r="K27" s="60" t="str">
        <f>IF(K25&lt;=2,"Severe Motor Impairment", IF(K25&lt;=4,"Moderate Coordination Difficulty", IF(K25&lt;=7,"Mild Motor Difficulty", IF(K25&gt;=8,"Age-appropriate Motor Skills"))))</f>
        <v>Severe Motor Impairment</v>
      </c>
      <c r="M27" s="59" t="s">
        <v>197</v>
      </c>
      <c r="N27" s="60" t="str">
        <f>IF(N25&lt;=2,"Severe Motor Impairment", IF(N25&lt;=4,"Moderate Coordination Difficulty", IF(N25&lt;=7,"Mild Motor Difficulty", IF(N25&gt;=8,"Age-appropriate Motor Skills"))))</f>
        <v>Severe Motor Impairment</v>
      </c>
    </row>
    <row r="28" spans="1:14" ht="5" customHeight="1" x14ac:dyDescent="0.15"/>
    <row r="29" spans="1:14" ht="29" customHeight="1" x14ac:dyDescent="0.15">
      <c r="A29" s="63" t="s">
        <v>198</v>
      </c>
      <c r="B29" s="60" t="str">
        <f>IF(B27="Severe Motor Impairment","Severe Motor Delay", IF(B27="Moderate Coordination Difficulty","Moderate Motor Delay", IF(B27="Mild Motor Difficulty","Mild Motor Delay", IF(B27="Age-appropriate Motor Skills","No Significant Delay"))))</f>
        <v>Severe Motor Delay</v>
      </c>
      <c r="C29" s="64"/>
      <c r="D29" s="63" t="s">
        <v>198</v>
      </c>
      <c r="E29" s="60" t="str">
        <f>IF(E27="Severe Motor Impairment","Severe Motor Delay", IF(E27="Moderate Coordination Difficulty","Moderate Motor Delay", IF(E27="Mild Motor Difficulty","Mild Motor Delay", IF(E27="Age-appropriate Motor Skills","No Significant Delay"))))</f>
        <v>Severe Motor Delay</v>
      </c>
      <c r="F29" s="65"/>
      <c r="G29" s="63" t="s">
        <v>198</v>
      </c>
      <c r="H29" s="60" t="str">
        <f>IF(H27="Severe Motor Impairment","Severe Motor Delay", IF(H27="Moderate Coordination Difficulty","Moderate Motor Delay", IF(H27="Mild Motor Difficulty","Mild Motor Delay", IF(H27="Age-appropriate Motor Skills","No Significant Delay"))))</f>
        <v>Severe Motor Delay</v>
      </c>
      <c r="I29" s="65"/>
      <c r="J29" s="63" t="s">
        <v>198</v>
      </c>
      <c r="K29" s="60" t="str">
        <f>IF(K27="Severe Motor Impairment","Severe Motor Delay", IF(K27="Moderate Coordination Difficulty","Moderate Motor Delay", IF(K27="Mild Motor Difficulty","Mild Motor Delay", IF(K27="Age-appropriate Motor Skills","No Significant Delay"))))</f>
        <v>Severe Motor Delay</v>
      </c>
      <c r="L29" s="65"/>
      <c r="M29" s="63" t="s">
        <v>198</v>
      </c>
      <c r="N29" s="60" t="str">
        <f>IF(N27="Severe Motor Impairment","Severe Motor Delay", IF(N27="Moderate Coordination Difficulty","Moderate Motor Delay", IF(N27="Mild Motor Difficulty","Mild Motor Delay", IF(N27="Age-appropriate Motor Skills","No Significant Delay"))))</f>
        <v>Severe Motor Delay</v>
      </c>
    </row>
    <row r="30" spans="1:14" ht="4" customHeight="1" x14ac:dyDescent="0.15"/>
    <row r="31" spans="1:14" s="67" customFormat="1" ht="21" customHeight="1" x14ac:dyDescent="0.2">
      <c r="A31" s="66"/>
      <c r="C31" s="66"/>
      <c r="D31" s="66"/>
      <c r="G31" s="66"/>
      <c r="J31" s="143" t="s">
        <v>209</v>
      </c>
      <c r="K31" s="143"/>
      <c r="M31" s="143" t="s">
        <v>210</v>
      </c>
      <c r="N31" s="143"/>
    </row>
    <row r="32" spans="1:14" x14ac:dyDescent="0.15">
      <c r="J32" s="144" t="str">
        <f>IF(K29="Severe Motor Delay","Recommend Pediatric or Physical Therapy referral", IF(K29="Moderate Motor Delay","Recommend Pediatric or Physical Therapy referral", "It can be manageable"))</f>
        <v>Recommend Pediatric or Physical Therapy referral</v>
      </c>
      <c r="K32" s="144"/>
      <c r="M32" s="144" t="str">
        <f>IF(N29="Severe Motor Delay","Recommend Occupational Therapy evaluation", IF(N29="Moderate Motor Delay","Recommend Occupational Therapy evaluation", "It can be manageable"))</f>
        <v>Recommend Occupational Therapy evaluation</v>
      </c>
      <c r="N32" s="144"/>
    </row>
    <row r="33" spans="1:14" x14ac:dyDescent="0.15">
      <c r="J33" s="144"/>
      <c r="K33" s="144"/>
      <c r="M33" s="144"/>
      <c r="N33" s="144"/>
    </row>
    <row r="34" spans="1:14" ht="4" customHeight="1" x14ac:dyDescent="0.15"/>
    <row r="35" spans="1:14" x14ac:dyDescent="0.15">
      <c r="J35" s="141" t="s">
        <v>207</v>
      </c>
      <c r="K35" s="141"/>
      <c r="L35" s="141"/>
      <c r="M35" s="141"/>
      <c r="N35" s="141"/>
    </row>
    <row r="36" spans="1:14" x14ac:dyDescent="0.15">
      <c r="J36" s="140" t="str" cm="1">
        <f t="array" ref="J36">INDEX('DO NOT DELETE'!C2:C10,MATCH(1,(Autoscoring!K29='DO NOT DELETE'!A2:A10)*(Autoscoring!N29='DO NOT DELETE'!B2:B10),0))</f>
        <v>Consider developmental pediatric assessment.</v>
      </c>
      <c r="K36" s="140"/>
      <c r="L36" s="140"/>
      <c r="M36" s="140"/>
      <c r="N36" s="140"/>
    </row>
    <row r="37" spans="1:14" x14ac:dyDescent="0.15">
      <c r="J37" s="140"/>
      <c r="K37" s="140"/>
      <c r="L37" s="140"/>
      <c r="M37" s="140"/>
      <c r="N37" s="140"/>
    </row>
    <row r="38" spans="1:14" ht="5" customHeight="1" x14ac:dyDescent="0.15"/>
    <row r="39" spans="1:14" x14ac:dyDescent="0.15">
      <c r="A39" s="141" t="s">
        <v>177</v>
      </c>
      <c r="B39" s="141"/>
      <c r="C39" s="141"/>
      <c r="D39" s="141"/>
      <c r="E39" s="141"/>
    </row>
    <row r="40" spans="1:14" ht="4" customHeight="1" x14ac:dyDescent="0.15"/>
    <row r="41" spans="1:14" x14ac:dyDescent="0.15">
      <c r="A41" s="142" t="s">
        <v>200</v>
      </c>
      <c r="B41" s="142"/>
      <c r="D41" s="147">
        <f>B25</f>
        <v>0</v>
      </c>
      <c r="E41" s="147"/>
    </row>
    <row r="42" spans="1:14" x14ac:dyDescent="0.15">
      <c r="A42" s="142" t="s">
        <v>201</v>
      </c>
      <c r="B42" s="142"/>
      <c r="D42" s="147">
        <f>E25</f>
        <v>0</v>
      </c>
      <c r="E42" s="147"/>
    </row>
    <row r="43" spans="1:14" x14ac:dyDescent="0.15">
      <c r="A43" s="142" t="s">
        <v>202</v>
      </c>
      <c r="B43" s="142"/>
      <c r="D43" s="147">
        <f>H25</f>
        <v>0</v>
      </c>
      <c r="E43" s="147"/>
    </row>
    <row r="44" spans="1:14" x14ac:dyDescent="0.15">
      <c r="A44" s="142" t="s">
        <v>203</v>
      </c>
      <c r="B44" s="142"/>
      <c r="D44" s="147">
        <f>K25+N25</f>
        <v>0</v>
      </c>
      <c r="E44" s="147"/>
    </row>
    <row r="45" spans="1:14" ht="4" customHeight="1" x14ac:dyDescent="0.15">
      <c r="A45" s="52"/>
      <c r="B45" s="52"/>
    </row>
    <row r="46" spans="1:14" x14ac:dyDescent="0.15">
      <c r="A46" s="142" t="s">
        <v>206</v>
      </c>
      <c r="B46" s="142"/>
      <c r="D46" s="146">
        <f>SUM(D41:D44)</f>
        <v>0</v>
      </c>
      <c r="E46" s="146"/>
    </row>
    <row r="47" spans="1:14" ht="4" customHeight="1" x14ac:dyDescent="0.15"/>
    <row r="48" spans="1:14" x14ac:dyDescent="0.15">
      <c r="A48" s="142" t="s">
        <v>208</v>
      </c>
      <c r="B48" s="142"/>
      <c r="D48" s="145" t="str">
        <f>IF(D46&lt;=19,"Severe Impairment", IF(D46&lt;=33,"Moderate Impairment", IF(D46&lt;=44,"Mild Impairment", IF(D46&gt;=45,"Within Age Expectation"))))</f>
        <v>Severe Impairment</v>
      </c>
      <c r="E48" s="145"/>
    </row>
    <row r="55" spans="1:14" s="68" customFormat="1" x14ac:dyDescent="0.15">
      <c r="A55" s="56" t="s">
        <v>223</v>
      </c>
      <c r="C55" s="48"/>
      <c r="D55" s="48"/>
      <c r="G55" s="48"/>
      <c r="J55" s="56" t="s">
        <v>224</v>
      </c>
    </row>
    <row r="57" spans="1:14" ht="18" customHeight="1" x14ac:dyDescent="0.15">
      <c r="A57" s="122"/>
      <c r="B57" s="122"/>
      <c r="C57" s="122"/>
      <c r="D57" s="122"/>
      <c r="E57" s="122"/>
      <c r="J57" s="122" t="s">
        <v>264</v>
      </c>
      <c r="K57" s="122"/>
      <c r="L57" s="122"/>
      <c r="M57" s="122"/>
      <c r="N57" s="122"/>
    </row>
    <row r="58" spans="1:14" x14ac:dyDescent="0.15">
      <c r="A58" s="148" t="e">
        <f>VLOOKUP(A57,mapsy,2,0)</f>
        <v>#N/A</v>
      </c>
      <c r="B58" s="148"/>
      <c r="C58" s="148"/>
      <c r="D58" s="148"/>
      <c r="E58" s="148"/>
      <c r="J58" s="135" t="str">
        <f>VLOOKUP(J57,RPsy,3,0)</f>
        <v>Clinic Psychologist / Supervisor</v>
      </c>
      <c r="K58" s="135"/>
      <c r="L58" s="135"/>
      <c r="M58" s="135"/>
      <c r="N58" s="135"/>
    </row>
    <row r="59" spans="1:14" x14ac:dyDescent="0.15">
      <c r="A59" s="148" t="e">
        <f>VLOOKUP(A57,mapsy,3,0)</f>
        <v>#N/A</v>
      </c>
      <c r="B59" s="148"/>
      <c r="C59" s="148"/>
      <c r="D59" s="148"/>
      <c r="E59" s="148"/>
      <c r="J59" s="133" t="s">
        <v>261</v>
      </c>
      <c r="K59" s="133"/>
      <c r="L59" s="134" t="str">
        <f>VLOOKUP(J57,RPsy,2,0)</f>
        <v>0001942</v>
      </c>
      <c r="M59" s="134"/>
      <c r="N59" s="134"/>
    </row>
    <row r="60" spans="1:14" x14ac:dyDescent="0.15">
      <c r="A60" s="148" t="e">
        <f>VLOOKUP(A57,mapsy,4,0)</f>
        <v>#N/A</v>
      </c>
      <c r="B60" s="148"/>
      <c r="C60" s="148"/>
      <c r="D60" s="148"/>
      <c r="E60" s="148"/>
    </row>
    <row r="63" spans="1:14" x14ac:dyDescent="0.15">
      <c r="A63" s="49" t="s">
        <v>278</v>
      </c>
      <c r="K63" s="50" t="s">
        <v>225</v>
      </c>
      <c r="M63" s="136">
        <f ca="1">TODAY()</f>
        <v>46082</v>
      </c>
      <c r="N63" s="136"/>
    </row>
  </sheetData>
  <sheetProtection algorithmName="SHA-512" hashValue="wKmVn4i7A1+h/OrLHaRqygKiSzWEkeekpm+I1TOrSbwq9/QBWF5S9MmEwYoC9p1HGLiL2CEpXL3mzvVBRgdj7w==" saltValue="PquCwSGVhIYugpzx4vMbbw==" spinCount="100000" sheet="1" selectLockedCells="1"/>
  <mergeCells count="38">
    <mergeCell ref="A60:E60"/>
    <mergeCell ref="A59:E59"/>
    <mergeCell ref="M32:N33"/>
    <mergeCell ref="J32:K33"/>
    <mergeCell ref="J35:N35"/>
    <mergeCell ref="A48:B48"/>
    <mergeCell ref="D48:E48"/>
    <mergeCell ref="A39:E39"/>
    <mergeCell ref="D46:E46"/>
    <mergeCell ref="D44:E44"/>
    <mergeCell ref="D43:E43"/>
    <mergeCell ref="D42:E42"/>
    <mergeCell ref="D41:E41"/>
    <mergeCell ref="A46:B46"/>
    <mergeCell ref="G9:H9"/>
    <mergeCell ref="D9:E9"/>
    <mergeCell ref="A9:B9"/>
    <mergeCell ref="M31:N31"/>
    <mergeCell ref="J31:K31"/>
    <mergeCell ref="J57:N57"/>
    <mergeCell ref="J58:N58"/>
    <mergeCell ref="M63:N63"/>
    <mergeCell ref="A1:N1"/>
    <mergeCell ref="L3:N3"/>
    <mergeCell ref="B3:H3"/>
    <mergeCell ref="A57:E57"/>
    <mergeCell ref="J36:N37"/>
    <mergeCell ref="M9:N9"/>
    <mergeCell ref="J7:N7"/>
    <mergeCell ref="A44:B44"/>
    <mergeCell ref="A43:B43"/>
    <mergeCell ref="A42:B42"/>
    <mergeCell ref="A41:B41"/>
    <mergeCell ref="A7:H7"/>
    <mergeCell ref="J9:K9"/>
    <mergeCell ref="J59:K59"/>
    <mergeCell ref="L59:N59"/>
    <mergeCell ref="A58:E58"/>
  </mergeCells>
  <conditionalFormatting sqref="B5">
    <cfRule type="containsText" dxfId="2" priority="5" operator="containsText" text="0">
      <formula>NOT(ISERROR(SEARCH("0",B5)))</formula>
    </cfRule>
  </conditionalFormatting>
  <conditionalFormatting sqref="B3:H3">
    <cfRule type="containsText" dxfId="1" priority="6" operator="containsText" text="0">
      <formula>NOT(ISERROR(SEARCH("0",B3)))</formula>
    </cfRule>
  </conditionalFormatting>
  <conditionalFormatting sqref="G5">
    <cfRule type="containsText" dxfId="0" priority="2" operator="containsText" text="0">
      <formula>NOT(ISERROR(SEARCH("0",G5)))</formula>
    </cfRule>
  </conditionalFormatting>
  <pageMargins left="0.7" right="0.7" top="0.75" bottom="0.75" header="0.3" footer="0.3"/>
  <pageSetup scale="93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27B1292-12D8-F647-9ACB-0BB764D604FC}">
          <x14:formula1>
            <xm:f>'DO NOT DELETE'!$A$36:$A$42</xm:f>
          </x14:formula1>
          <xm:sqref>A57:E57</xm:sqref>
        </x14:dataValidation>
        <x14:dataValidation type="list" allowBlank="1" showInputMessage="1" showErrorMessage="1" xr:uid="{ADE29348-6F10-5942-98C8-6E607E05A9EF}">
          <x14:formula1>
            <xm:f>'DO NOT DELETE'!$A$46:$A$49</xm:f>
          </x14:formula1>
          <xm:sqref>J57:N57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8E3C-9EF3-3C43-B1BB-1F71D9F7CFF1}">
  <sheetPr>
    <tabColor rgb="FFC00000"/>
  </sheetPr>
  <dimension ref="A1:D49"/>
  <sheetViews>
    <sheetView workbookViewId="0">
      <selection activeCell="A25" sqref="A1:XFD1048576"/>
    </sheetView>
  </sheetViews>
  <sheetFormatPr baseColWidth="10" defaultRowHeight="16" x14ac:dyDescent="0.2"/>
  <cols>
    <col min="1" max="1" width="41.83203125" style="72" bestFit="1" customWidth="1"/>
    <col min="2" max="2" width="39" style="72" bestFit="1" customWidth="1"/>
    <col min="3" max="3" width="61.83203125" style="72" bestFit="1" customWidth="1"/>
    <col min="4" max="4" width="47.5" style="72" customWidth="1"/>
    <col min="5" max="16384" width="10.83203125" style="72"/>
  </cols>
  <sheetData>
    <row r="1" spans="1:3" x14ac:dyDescent="0.2">
      <c r="A1" s="71" t="s">
        <v>209</v>
      </c>
      <c r="B1" s="71" t="s">
        <v>210</v>
      </c>
      <c r="C1" s="71" t="s">
        <v>211</v>
      </c>
    </row>
    <row r="2" spans="1:3" x14ac:dyDescent="0.2">
      <c r="A2" s="72" t="s">
        <v>146</v>
      </c>
      <c r="B2" s="72" t="s">
        <v>146</v>
      </c>
      <c r="C2" s="72" t="s">
        <v>213</v>
      </c>
    </row>
    <row r="3" spans="1:3" x14ac:dyDescent="0.2">
      <c r="A3" s="72" t="s">
        <v>148</v>
      </c>
      <c r="B3" s="72" t="s">
        <v>148</v>
      </c>
      <c r="C3" s="72" t="s">
        <v>212</v>
      </c>
    </row>
    <row r="4" spans="1:3" x14ac:dyDescent="0.2">
      <c r="A4" s="72" t="s">
        <v>150</v>
      </c>
      <c r="B4" s="72" t="s">
        <v>150</v>
      </c>
      <c r="C4" s="72" t="s">
        <v>212</v>
      </c>
    </row>
    <row r="5" spans="1:3" x14ac:dyDescent="0.2">
      <c r="A5" s="72" t="s">
        <v>146</v>
      </c>
      <c r="B5" s="72" t="s">
        <v>148</v>
      </c>
      <c r="C5" s="72" t="s">
        <v>214</v>
      </c>
    </row>
    <row r="6" spans="1:3" x14ac:dyDescent="0.2">
      <c r="A6" s="72" t="s">
        <v>146</v>
      </c>
      <c r="B6" s="72" t="s">
        <v>150</v>
      </c>
      <c r="C6" s="72" t="s">
        <v>214</v>
      </c>
    </row>
    <row r="7" spans="1:3" x14ac:dyDescent="0.2">
      <c r="A7" s="72" t="s">
        <v>148</v>
      </c>
      <c r="B7" s="72" t="s">
        <v>146</v>
      </c>
      <c r="C7" s="72" t="s">
        <v>215</v>
      </c>
    </row>
    <row r="8" spans="1:3" x14ac:dyDescent="0.2">
      <c r="A8" s="72" t="s">
        <v>148</v>
      </c>
      <c r="B8" s="72" t="s">
        <v>150</v>
      </c>
      <c r="C8" s="72" t="s">
        <v>212</v>
      </c>
    </row>
    <row r="9" spans="1:3" x14ac:dyDescent="0.2">
      <c r="A9" s="72" t="s">
        <v>150</v>
      </c>
      <c r="B9" s="72" t="s">
        <v>146</v>
      </c>
      <c r="C9" s="72" t="s">
        <v>215</v>
      </c>
    </row>
    <row r="10" spans="1:3" x14ac:dyDescent="0.2">
      <c r="A10" s="72" t="s">
        <v>150</v>
      </c>
      <c r="B10" s="72" t="s">
        <v>148</v>
      </c>
      <c r="C10" s="72" t="s">
        <v>212</v>
      </c>
    </row>
    <row r="16" spans="1:3" x14ac:dyDescent="0.2">
      <c r="A16" s="71" t="s">
        <v>218</v>
      </c>
      <c r="B16" s="71" t="s">
        <v>237</v>
      </c>
    </row>
    <row r="17" spans="1:2" x14ac:dyDescent="0.2">
      <c r="A17" s="72" t="s">
        <v>219</v>
      </c>
    </row>
    <row r="18" spans="1:2" x14ac:dyDescent="0.2">
      <c r="A18" s="72" t="s">
        <v>263</v>
      </c>
      <c r="B18" s="73" t="s">
        <v>238</v>
      </c>
    </row>
    <row r="19" spans="1:2" x14ac:dyDescent="0.2">
      <c r="A19" s="72" t="s">
        <v>264</v>
      </c>
    </row>
    <row r="20" spans="1:2" x14ac:dyDescent="0.2">
      <c r="A20" s="72" t="s">
        <v>265</v>
      </c>
    </row>
    <row r="21" spans="1:2" x14ac:dyDescent="0.2">
      <c r="A21" s="72" t="s">
        <v>269</v>
      </c>
      <c r="B21" s="72" t="s">
        <v>245</v>
      </c>
    </row>
    <row r="22" spans="1:2" x14ac:dyDescent="0.2">
      <c r="A22" s="72" t="s">
        <v>266</v>
      </c>
      <c r="B22" s="72" t="s">
        <v>246</v>
      </c>
    </row>
    <row r="23" spans="1:2" x14ac:dyDescent="0.2">
      <c r="A23" s="72" t="s">
        <v>267</v>
      </c>
      <c r="B23" s="72" t="s">
        <v>247</v>
      </c>
    </row>
    <row r="24" spans="1:2" x14ac:dyDescent="0.2">
      <c r="A24" s="72" t="s">
        <v>268</v>
      </c>
      <c r="B24" s="72" t="s">
        <v>248</v>
      </c>
    </row>
    <row r="26" spans="1:2" x14ac:dyDescent="0.2">
      <c r="A26" s="71" t="s">
        <v>222</v>
      </c>
    </row>
    <row r="27" spans="1:2" x14ac:dyDescent="0.2">
      <c r="A27" s="72" t="s">
        <v>219</v>
      </c>
    </row>
    <row r="28" spans="1:2" x14ac:dyDescent="0.2">
      <c r="A28" s="72" t="s">
        <v>220</v>
      </c>
    </row>
    <row r="29" spans="1:2" x14ac:dyDescent="0.2">
      <c r="A29" s="72" t="s">
        <v>221</v>
      </c>
    </row>
    <row r="31" spans="1:2" x14ac:dyDescent="0.2">
      <c r="A31" s="72" t="s">
        <v>255</v>
      </c>
    </row>
    <row r="32" spans="1:2" x14ac:dyDescent="0.2">
      <c r="A32" s="72" t="s">
        <v>256</v>
      </c>
    </row>
    <row r="34" spans="1:4" x14ac:dyDescent="0.2">
      <c r="A34" s="72" t="s">
        <v>271</v>
      </c>
    </row>
    <row r="35" spans="1:4" x14ac:dyDescent="0.2">
      <c r="A35" s="72" t="s">
        <v>262</v>
      </c>
    </row>
    <row r="36" spans="1:4" x14ac:dyDescent="0.2">
      <c r="A36" s="72" t="s">
        <v>269</v>
      </c>
      <c r="B36" s="72" t="s">
        <v>272</v>
      </c>
      <c r="C36" s="72" t="s">
        <v>288</v>
      </c>
      <c r="D36" s="72" t="s">
        <v>289</v>
      </c>
    </row>
    <row r="37" spans="1:4" x14ac:dyDescent="0.2">
      <c r="A37" s="72" t="s">
        <v>266</v>
      </c>
      <c r="B37" s="72" t="s">
        <v>272</v>
      </c>
      <c r="C37" s="72" t="s">
        <v>288</v>
      </c>
      <c r="D37" s="72" t="s">
        <v>289</v>
      </c>
    </row>
    <row r="38" spans="1:4" x14ac:dyDescent="0.2">
      <c r="A38" s="72" t="s">
        <v>268</v>
      </c>
      <c r="B38" s="72" t="s">
        <v>272</v>
      </c>
      <c r="C38" s="72" t="s">
        <v>288</v>
      </c>
      <c r="D38" s="72" t="s">
        <v>289</v>
      </c>
    </row>
    <row r="39" spans="1:4" x14ac:dyDescent="0.2">
      <c r="A39" s="72" t="s">
        <v>267</v>
      </c>
      <c r="B39" s="72" t="s">
        <v>272</v>
      </c>
      <c r="C39" s="72" t="s">
        <v>288</v>
      </c>
      <c r="D39" s="72" t="s">
        <v>289</v>
      </c>
    </row>
    <row r="40" spans="1:4" x14ac:dyDescent="0.2">
      <c r="A40" s="72" t="s">
        <v>273</v>
      </c>
      <c r="B40" s="72" t="s">
        <v>272</v>
      </c>
      <c r="C40" s="72" t="s">
        <v>288</v>
      </c>
      <c r="D40" s="72" t="s">
        <v>289</v>
      </c>
    </row>
    <row r="41" spans="1:4" x14ac:dyDescent="0.2">
      <c r="A41" s="72" t="s">
        <v>274</v>
      </c>
      <c r="B41" s="72" t="s">
        <v>272</v>
      </c>
      <c r="C41" s="72" t="s">
        <v>288</v>
      </c>
      <c r="D41" s="72" t="s">
        <v>289</v>
      </c>
    </row>
    <row r="42" spans="1:4" x14ac:dyDescent="0.2">
      <c r="A42" s="72" t="s">
        <v>275</v>
      </c>
      <c r="B42" s="72" t="s">
        <v>272</v>
      </c>
      <c r="C42" s="72" t="s">
        <v>288</v>
      </c>
      <c r="D42" s="72" t="s">
        <v>289</v>
      </c>
    </row>
    <row r="45" spans="1:4" x14ac:dyDescent="0.2">
      <c r="A45" s="72" t="s">
        <v>262</v>
      </c>
      <c r="B45" s="72" t="s">
        <v>270</v>
      </c>
    </row>
    <row r="46" spans="1:4" x14ac:dyDescent="0.2">
      <c r="A46" s="72" t="s">
        <v>219</v>
      </c>
      <c r="B46" s="74" t="s">
        <v>257</v>
      </c>
      <c r="C46" s="72" t="s">
        <v>256</v>
      </c>
    </row>
    <row r="47" spans="1:4" x14ac:dyDescent="0.2">
      <c r="A47" s="72" t="s">
        <v>263</v>
      </c>
      <c r="B47" s="74" t="s">
        <v>260</v>
      </c>
      <c r="C47" s="72" t="s">
        <v>256</v>
      </c>
    </row>
    <row r="48" spans="1:4" x14ac:dyDescent="0.2">
      <c r="A48" s="72" t="s">
        <v>264</v>
      </c>
      <c r="B48" s="74" t="s">
        <v>258</v>
      </c>
      <c r="C48" s="72" t="s">
        <v>280</v>
      </c>
    </row>
    <row r="49" spans="1:3" x14ac:dyDescent="0.2">
      <c r="A49" s="72" t="s">
        <v>265</v>
      </c>
      <c r="B49" s="74" t="s">
        <v>259</v>
      </c>
      <c r="C49" s="72" t="s">
        <v>256</v>
      </c>
    </row>
  </sheetData>
  <sheetProtection algorithmName="SHA-512" hashValue="yC3U9mwYxw1VfQJwB4+A39XtOmR6gZ32bUO3pEdp8QnnbVZQBmvSX0p3BRaLcbn1ZVt3SUGcc4HGYE8vxLSQtQ==" saltValue="1V2aN6Vqp1j2NxDxh1XSDg==" spinCount="100000" sheet="1" objects="1" scenarios="1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ORIGINAL QUESTIONNAIRE</vt:lpstr>
      <vt:lpstr>Questionnaire</vt:lpstr>
      <vt:lpstr>Autoscoring</vt:lpstr>
      <vt:lpstr>DO NOT DELETE</vt:lpstr>
      <vt:lpstr>Interns</vt:lpstr>
      <vt:lpstr>mapsy</vt:lpstr>
      <vt:lpstr>'ORIGINAL QUESTIONNAIRE'!Print_Area</vt:lpstr>
      <vt:lpstr>PROFESSIONAL</vt:lpstr>
      <vt:lpstr>PROFESSIONAls</vt:lpstr>
      <vt:lpstr>RPm</vt:lpstr>
      <vt:lpstr>RPsy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Karyle Beatrice B. Navarro_3201044</dc:creator>
  <cp:lastModifiedBy>a49964</cp:lastModifiedBy>
  <cp:lastPrinted>2026-03-01T01:59:33Z</cp:lastPrinted>
  <dcterms:created xsi:type="dcterms:W3CDTF">2026-02-18T04:16:06Z</dcterms:created>
  <dcterms:modified xsi:type="dcterms:W3CDTF">2026-03-01T03:23:22Z</dcterms:modified>
</cp:coreProperties>
</file>